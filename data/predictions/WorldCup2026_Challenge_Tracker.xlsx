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rique\Dropbox\ERW\"/>
    </mc:Choice>
  </mc:AlternateContent>
  <xr:revisionPtr revIDLastSave="0" documentId="13_ncr:1_{4E7DF2BE-ADA3-4D92-8E07-A92C99590A3C}" xr6:coauthVersionLast="47" xr6:coauthVersionMax="47" xr10:uidLastSave="{00000000-0000-0000-0000-000000000000}"/>
  <bookViews>
    <workbookView xWindow="28680" yWindow="1620" windowWidth="29040" windowHeight="15720" tabRatio="500" activeTab="1" xr2:uid="{00000000-000D-0000-FFFF-FFFF00000000}"/>
  </bookViews>
  <sheets>
    <sheet name="Group Stage" sheetId="1" r:id="rId1"/>
    <sheet name="Scoreboard" sheetId="2" r:id="rId2"/>
  </sheets>
  <definedNames>
    <definedName name="_xlnm._FilterDatabase" localSheetId="0" hidden="1">'Group Stage'!$C$4:$T$76</definedName>
    <definedName name="_xlnm._FilterDatabase" localSheetId="1" hidden="1">Scoreboard!$C$4:$F$19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 a="1"/>
  <c r="D5" i="2" s="1"/>
  <c r="E5" i="2" s="1"/>
  <c r="C5" i="2"/>
  <c r="D16" i="2" a="1"/>
  <c r="D16" i="2" s="1"/>
  <c r="E16" i="2" s="1"/>
  <c r="D15" i="2" a="1"/>
  <c r="D15" i="2" s="1"/>
  <c r="E15" i="2" s="1"/>
  <c r="D14" i="2" a="1"/>
  <c r="D14" i="2" s="1"/>
  <c r="D13" i="2" a="1"/>
  <c r="D13" i="2" s="1"/>
  <c r="C16" i="2"/>
  <c r="C15" i="2"/>
  <c r="C14" i="2"/>
  <c r="C13" i="2"/>
  <c r="C12" i="2"/>
  <c r="C11" i="2"/>
  <c r="C10" i="2"/>
  <c r="C9" i="2"/>
  <c r="C8" i="2"/>
  <c r="C7" i="2"/>
  <c r="C19" i="2"/>
  <c r="C18" i="2"/>
  <c r="C17" i="2"/>
  <c r="C6" i="2"/>
  <c r="D12" i="2"/>
  <c r="F12" i="2" s="1"/>
  <c r="D11" i="2"/>
  <c r="F11" i="2" s="1"/>
  <c r="D10" i="2"/>
  <c r="F10" i="2" s="1"/>
  <c r="D9" i="2"/>
  <c r="F9" i="2" s="1"/>
  <c r="D8" i="2"/>
  <c r="F8" i="2" s="1"/>
  <c r="D7" i="2"/>
  <c r="E7" i="2" s="1"/>
  <c r="D19" i="2"/>
  <c r="E19" i="2" s="1"/>
  <c r="D18" i="2"/>
  <c r="F18" i="2" s="1"/>
  <c r="D17" i="2"/>
  <c r="F17" i="2" s="1"/>
  <c r="D6" i="2"/>
  <c r="E6" i="2" s="1"/>
  <c r="F5" i="2" l="1"/>
  <c r="E9" i="2"/>
  <c r="E10" i="2"/>
  <c r="E11" i="2"/>
  <c r="E17" i="2"/>
  <c r="E12" i="2"/>
  <c r="E18" i="2"/>
  <c r="E8" i="2"/>
  <c r="E14" i="2"/>
  <c r="F14" i="2"/>
  <c r="E13" i="2"/>
  <c r="F13" i="2"/>
  <c r="F15" i="2"/>
  <c r="F16" i="2"/>
  <c r="F19" i="2"/>
  <c r="F7" i="2"/>
  <c r="F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<sst xmlns="http://schemas.openxmlformats.org/spreadsheetml/2006/main" count="461" uniqueCount="134">
  <si>
    <t>#</t>
  </si>
  <si>
    <t>Group</t>
  </si>
  <si>
    <t>Date</t>
  </si>
  <si>
    <t>Match</t>
  </si>
  <si>
    <t>Official
Result</t>
  </si>
  <si>
    <t>Group A</t>
  </si>
  <si>
    <t>Jun 11</t>
  </si>
  <si>
    <t>South Africa  vs  Mexico</t>
  </si>
  <si>
    <t>Jun 12</t>
  </si>
  <si>
    <t>Czech Republic  vs  South Korea</t>
  </si>
  <si>
    <t>Jun 18</t>
  </si>
  <si>
    <t>South Africa  vs  Czech Republic</t>
  </si>
  <si>
    <t>Jun 19</t>
  </si>
  <si>
    <t>South Korea  vs  Mexico</t>
  </si>
  <si>
    <t>Jun 25</t>
  </si>
  <si>
    <t>South Korea  vs  South Africa</t>
  </si>
  <si>
    <t>Mexico  vs  Czech Republic</t>
  </si>
  <si>
    <t>Group B</t>
  </si>
  <si>
    <t>Bosnia-Herzegovina  vs  Canada</t>
  </si>
  <si>
    <t>Jun 13</t>
  </si>
  <si>
    <t>Switzerland  vs  Qatar</t>
  </si>
  <si>
    <t>Bosnia-Herzegovina  vs  Switzerland</t>
  </si>
  <si>
    <t>Qatar  vs  Canada</t>
  </si>
  <si>
    <t>Jun 24</t>
  </si>
  <si>
    <t>Canada  vs  Switzerland</t>
  </si>
  <si>
    <t>Qatar  vs  Bosnia-Herzegovina</t>
  </si>
  <si>
    <t>Group C</t>
  </si>
  <si>
    <t>Morocco  vs  Brazil</t>
  </si>
  <si>
    <t>Jun 14</t>
  </si>
  <si>
    <t>Scotland  vs  Haiti</t>
  </si>
  <si>
    <t>Morocco  vs  Scotland</t>
  </si>
  <si>
    <t>Jun 20</t>
  </si>
  <si>
    <t>Haiti  vs  Brazil</t>
  </si>
  <si>
    <t>Brazil  vs  Scotland</t>
  </si>
  <si>
    <t>Haiti  vs  Morocco</t>
  </si>
  <si>
    <t>Group D</t>
  </si>
  <si>
    <t>Paraguay  vs  USA</t>
  </si>
  <si>
    <t>Turkey  vs  Australia</t>
  </si>
  <si>
    <t>Australia  vs  USA</t>
  </si>
  <si>
    <t>Paraguay  vs  Turkey</t>
  </si>
  <si>
    <t>Jun 26</t>
  </si>
  <si>
    <t>USA  vs  Turkey</t>
  </si>
  <si>
    <t>Australia  vs  Paraguay</t>
  </si>
  <si>
    <t>Group E</t>
  </si>
  <si>
    <t>Germany  vs  Curaçao</t>
  </si>
  <si>
    <t>Ecuador  vs  Ivory Coast</t>
  </si>
  <si>
    <t>Ivory Coast  vs  Germany</t>
  </si>
  <si>
    <t>Jun 21</t>
  </si>
  <si>
    <t>Curaçao  vs  Ecuador</t>
  </si>
  <si>
    <t>Germany  vs  Ecuador</t>
  </si>
  <si>
    <t>Ivory Coast  vs  Curaçao</t>
  </si>
  <si>
    <t>Group F</t>
  </si>
  <si>
    <t>Japan  vs  Netherlands</t>
  </si>
  <si>
    <t>Jun 15</t>
  </si>
  <si>
    <t>Tunisia  vs  Sweden</t>
  </si>
  <si>
    <t>Sweden  vs  Netherlands</t>
  </si>
  <si>
    <t>Japan  vs  Tunisia</t>
  </si>
  <si>
    <t>Netherlands  vs  Tunisia</t>
  </si>
  <si>
    <t>Sweden  vs  Japan</t>
  </si>
  <si>
    <t>Group G</t>
  </si>
  <si>
    <t>Egypt  vs  Belgium</t>
  </si>
  <si>
    <t>Jun 16</t>
  </si>
  <si>
    <t>New Zealand  vs  Iran</t>
  </si>
  <si>
    <t>Iran  vs  Belgium</t>
  </si>
  <si>
    <t>Jun 22</t>
  </si>
  <si>
    <t>Egypt  vs  New Zealand</t>
  </si>
  <si>
    <t>Jun 27</t>
  </si>
  <si>
    <t>Belgium  vs  New Zealand</t>
  </si>
  <si>
    <t>Iran  vs  Egypt</t>
  </si>
  <si>
    <t>Group H</t>
  </si>
  <si>
    <t>Cape Verde  vs  Spain</t>
  </si>
  <si>
    <t>Uruguay  vs  Saudi Arabia</t>
  </si>
  <si>
    <t>Saudi Arabia  vs  Spain</t>
  </si>
  <si>
    <t>Cape Verde  vs  Uruguay</t>
  </si>
  <si>
    <t>Spain  vs  Uruguay</t>
  </si>
  <si>
    <t>Saudi Arabia  vs  Cape Verde</t>
  </si>
  <si>
    <t>Group I</t>
  </si>
  <si>
    <t>Senegal  vs  France</t>
  </si>
  <si>
    <t>Norway  vs  Iraq</t>
  </si>
  <si>
    <t>Iraq  vs  France</t>
  </si>
  <si>
    <t>Jun 23</t>
  </si>
  <si>
    <t>Senegal  vs  Norway</t>
  </si>
  <si>
    <t>France  vs  Norway</t>
  </si>
  <si>
    <t>Iraq  vs  Senegal</t>
  </si>
  <si>
    <t>Group J</t>
  </si>
  <si>
    <t>Jun 17</t>
  </si>
  <si>
    <t>Algeria  vs  Argentina</t>
  </si>
  <si>
    <t>Jordan  vs  Austria</t>
  </si>
  <si>
    <t>Austria  vs  Argentina</t>
  </si>
  <si>
    <t>Algeria  vs  Jordan</t>
  </si>
  <si>
    <t>Jun 28</t>
  </si>
  <si>
    <t>Austria  vs  Algeria</t>
  </si>
  <si>
    <t>Argentina  vs  Jordan</t>
  </si>
  <si>
    <t>Group K</t>
  </si>
  <si>
    <t>Portugal  vs  DR Congo</t>
  </si>
  <si>
    <t>Uzbekistan  vs  Colombia</t>
  </si>
  <si>
    <t>Portugal  vs  Uzbekistan</t>
  </si>
  <si>
    <t>Colombia  vs  DR Congo</t>
  </si>
  <si>
    <t>Colombia  vs  Portugal</t>
  </si>
  <si>
    <t>DR Congo  vs  Uzbekistan</t>
  </si>
  <si>
    <t>Group L</t>
  </si>
  <si>
    <t>England  vs  Croatia</t>
  </si>
  <si>
    <t>Ghana  vs  Panama</t>
  </si>
  <si>
    <t>England  vs  Ghana</t>
  </si>
  <si>
    <t>Croatia  vs  Panama</t>
  </si>
  <si>
    <t>England  vs  Panama</t>
  </si>
  <si>
    <t>Croatia  vs  Ghana</t>
  </si>
  <si>
    <t>10 points per correct prediction  •  72 matches  •  720 points possible</t>
  </si>
  <si>
    <t>Pos.</t>
  </si>
  <si>
    <t>Participant</t>
  </si>
  <si>
    <t>Total Points</t>
  </si>
  <si>
    <t>Accuracy %</t>
  </si>
  <si>
    <t>Correct Picks</t>
  </si>
  <si>
    <t>Maximum Possible</t>
  </si>
  <si>
    <t>x</t>
  </si>
  <si>
    <t xml:space="preserve">Enrique </t>
  </si>
  <si>
    <t>LEADEBOARD</t>
  </si>
  <si>
    <t>X</t>
  </si>
  <si>
    <t>MATTHEW</t>
  </si>
  <si>
    <t>Karla Alonzo</t>
  </si>
  <si>
    <t>Fernando MP</t>
  </si>
  <si>
    <t>Raul MP</t>
  </si>
  <si>
    <t>Milena</t>
  </si>
  <si>
    <t>Gran Quinela Mundialista RMP / PEYITO</t>
  </si>
  <si>
    <t>Eduardo MP</t>
  </si>
  <si>
    <t>Miranda</t>
  </si>
  <si>
    <t>Juan Corredor</t>
  </si>
  <si>
    <t>Eddie y Liza</t>
  </si>
  <si>
    <t>AX ML</t>
  </si>
  <si>
    <t>Pago:</t>
  </si>
  <si>
    <t>Ricardo JR</t>
  </si>
  <si>
    <t>Carito</t>
  </si>
  <si>
    <t>Peyito</t>
  </si>
  <si>
    <t>Eduardo 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</si>
</sst>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8" x14ac:knownFonts="1">
    <font>
      <sz val="11"/>
      <color theme="1"/>
      <name val="Calibri"/>
      <family val="2"/>
      <charset val="1"/>
    </font>
    <font>
      <b/>
      <sz val="15"/>
      <color rgb="FFFFD700"/>
      <name val="Arial"/>
      <family val="2"/>
    </font>
    <font>
      <b/>
      <sz val="10"/>
      <color rgb="FFFFFFFF"/>
      <name val="Arial"/>
      <family val="2"/>
    </font>
    <font>
      <b/>
      <sz val="10"/>
      <color rgb="FF1A5C2E"/>
      <name val="Arial"/>
      <family val="2"/>
    </font>
    <font>
      <i/>
      <sz val="10"/>
      <color rgb="FF666666"/>
      <name val="Arial"/>
      <family val="2"/>
    </font>
    <font>
      <sz val="10"/>
      <color rgb="FF424242"/>
      <name val="Arial"/>
      <family val="2"/>
    </font>
    <font>
      <i/>
      <sz val="10"/>
      <color rgb="FFFFFFFF"/>
      <name val="Arial"/>
      <family val="2"/>
    </font>
    <font>
      <b/>
      <sz val="10"/>
      <color rgb="FF424242"/>
      <name val="Arial"/>
      <family val="2"/>
    </font>
    <font>
      <b/>
      <sz val="12"/>
      <color rgb="FF1A5C2E"/>
      <name val="Arial"/>
      <family val="2"/>
    </font>
    <font>
      <b/>
      <sz val="11"/>
      <color rgb="FFFFFFFF"/>
      <name val="Arial"/>
      <family val="2"/>
    </font>
    <font>
      <b/>
      <sz val="13"/>
      <color rgb="FF1B5E20"/>
      <name val="Arial"/>
      <family val="2"/>
    </font>
    <font>
      <b/>
      <sz val="13"/>
      <color rgb="FF1B5E20"/>
      <name val="Arial"/>
      <family val="2"/>
    </font>
    <font>
      <b/>
      <sz val="12"/>
      <color rgb="FF1B5E20"/>
      <name val="Arial"/>
      <family val="2"/>
    </font>
    <font>
      <b/>
      <sz val="14"/>
      <color rgb="FFFFD700"/>
      <name val="Arial"/>
      <family val="2"/>
    </font>
    <font>
      <b/>
      <sz val="14"/>
      <color rgb="FFFFD700"/>
      <name val="Arial"/>
      <family val="2"/>
    </font>
    <font>
      <b/>
      <sz val="12"/>
      <color rgb="FF1B5E20"/>
      <name val="Arial"/>
      <family val="2"/>
    </font>
    <font>
      <b/>
      <sz val="13"/>
      <color rgb="FF1B5E20"/>
      <name val="Arial"/>
      <family val="2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A5C2E"/>
        <bgColor rgb="FF1B5E20"/>
      </patternFill>
    </fill>
    <fill>
      <patternFill patternType="solid">
        <fgColor rgb="FF1B5E20"/>
        <bgColor rgb="FF1A5C2E"/>
      </patternFill>
    </fill>
    <fill>
      <patternFill patternType="solid">
        <fgColor rgb="FFF5F5F5"/>
        <bgColor rgb="FFFFF8E1"/>
      </patternFill>
    </fill>
    <fill>
      <patternFill patternType="solid">
        <fgColor rgb="FF2E7D32"/>
        <bgColor rgb="FF1B5E20"/>
      </patternFill>
    </fill>
    <fill>
      <patternFill patternType="solid">
        <fgColor rgb="FFFFF9C4"/>
        <bgColor rgb="FFFFF8E1"/>
      </patternFill>
    </fill>
    <fill>
      <patternFill patternType="solid">
        <fgColor rgb="FFFFFFFF"/>
        <bgColor rgb="FFF5F5F5"/>
      </patternFill>
    </fill>
    <fill>
      <patternFill patternType="solid">
        <fgColor rgb="FFB8860B"/>
        <bgColor rgb="FFF9A825"/>
      </patternFill>
    </fill>
    <fill>
      <patternFill patternType="solid">
        <fgColor theme="9"/>
        <bgColor rgb="FF1A5C2E"/>
      </patternFill>
    </fill>
    <fill>
      <patternFill patternType="solid">
        <fgColor theme="9" tint="0.79998168889431442"/>
        <bgColor rgb="FFFFF8E1"/>
      </patternFill>
    </fill>
    <fill>
      <patternFill patternType="solid">
        <fgColor rgb="FF1B5E20"/>
        <bgColor rgb="FF2E7D32"/>
      </patternFill>
    </fill>
    <fill>
      <patternFill patternType="solid">
        <fgColor rgb="FFFFF9C4"/>
        <bgColor rgb="FFFFF9C4"/>
      </patternFill>
    </fill>
    <fill>
      <patternFill patternType="solid">
        <fgColor theme="6" tint="0.59999389629810485"/>
        <bgColor rgb="FFFFF8E1"/>
      </patternFill>
    </fill>
    <fill>
      <patternFill patternType="solid">
        <fgColor theme="5" tint="0.59999389629810485"/>
        <bgColor rgb="FFFFF8E1"/>
      </patternFill>
    </fill>
    <fill>
      <patternFill patternType="solid">
        <fgColor theme="6" tint="0.59999389629810485"/>
        <bgColor rgb="FF1A5C2E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3" fontId="8" fillId="7" borderId="1" xfId="0" applyNumberFormat="1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 wrapText="1"/>
    </xf>
    <xf numFmtId="3" fontId="9" fillId="8" borderId="1" xfId="0" applyNumberFormat="1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1" fontId="9" fillId="8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Continuous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Continuous" vertical="center" wrapText="1"/>
    </xf>
    <xf numFmtId="0" fontId="1" fillId="2" borderId="0" xfId="0" applyFont="1" applyFill="1" applyAlignment="1">
      <alignment horizontal="centerContinuous" vertical="center" wrapText="1"/>
    </xf>
    <xf numFmtId="0" fontId="6" fillId="5" borderId="0" xfId="0" applyFont="1" applyFill="1" applyAlignment="1">
      <alignment horizontal="centerContinuous" vertical="center" wrapText="1"/>
    </xf>
    <xf numFmtId="0" fontId="2" fillId="8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14" fillId="11" borderId="0" xfId="0" applyFont="1" applyFill="1" applyAlignment="1">
      <alignment horizontal="centerContinuous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/>
    </xf>
    <xf numFmtId="6" fontId="12" fillId="13" borderId="2" xfId="0" applyNumberFormat="1" applyFont="1" applyFill="1" applyBorder="1" applyAlignment="1">
      <alignment horizontal="centerContinuous" vertical="center" wrapText="1"/>
    </xf>
    <xf numFmtId="6" fontId="12" fillId="14" borderId="2" xfId="0" applyNumberFormat="1" applyFont="1" applyFill="1" applyBorder="1" applyAlignment="1">
      <alignment horizontal="centerContinuous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B8860B"/>
      <rgbColor rgb="FF800080"/>
      <rgbColor rgb="FF008080"/>
      <rgbColor rgb="FFBDBDBD"/>
      <rgbColor rgb="FF808080"/>
      <rgbColor rgb="FF9999FF"/>
      <rgbColor rgb="FF993366"/>
      <rgbColor rgb="FFFFF9C4"/>
      <rgbColor rgb="FFF5F5F5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8E1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9A825"/>
      <rgbColor rgb="FFFF6600"/>
      <rgbColor rgb="FF666666"/>
      <rgbColor rgb="FF969696"/>
      <rgbColor rgb="FF003366"/>
      <rgbColor rgb="FF2E7D32"/>
      <rgbColor rgb="FF003300"/>
      <rgbColor rgb="FF1A5C2E"/>
      <rgbColor rgb="FF993300"/>
      <rgbColor rgb="FF993366"/>
      <rgbColor rgb="FF333399"/>
      <rgbColor rgb="FF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E20"/>
  </sheetPr>
  <dimension ref="B2:U76"/>
  <sheetViews>
    <sheetView showGridLines="0" zoomScale="85" zoomScaleNormal="85" workbookViewId="0">
      <selection activeCell="Y10" sqref="Y10"/>
    </sheetView>
  </sheetViews>
  <sheetFormatPr defaultColWidth="8.7109375" defaultRowHeight="15" x14ac:dyDescent="0.25"/>
  <cols>
    <col min="1" max="1" width="3.5703125" customWidth="1"/>
    <col min="2" max="2" width="7.28515625" customWidth="1"/>
    <col min="3" max="3" width="12.85546875" customWidth="1"/>
    <col min="4" max="4" width="11" customWidth="1"/>
    <col min="5" max="5" width="36.85546875" customWidth="1"/>
    <col min="6" max="21" width="12.7109375" customWidth="1"/>
  </cols>
  <sheetData>
    <row r="2" spans="2:21" ht="18" x14ac:dyDescent="0.25">
      <c r="B2" s="36" t="s">
        <v>123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3" spans="2:21" ht="15.75" x14ac:dyDescent="0.25">
      <c r="B3" s="1"/>
      <c r="C3" s="1"/>
      <c r="D3" s="1"/>
      <c r="E3" s="1"/>
      <c r="F3" s="41" t="s">
        <v>129</v>
      </c>
      <c r="G3" s="39">
        <v>20</v>
      </c>
      <c r="H3" s="40">
        <v>0</v>
      </c>
      <c r="I3" s="39">
        <v>20</v>
      </c>
      <c r="J3" s="39">
        <v>20</v>
      </c>
      <c r="K3" s="39">
        <v>20</v>
      </c>
      <c r="L3" s="39">
        <v>20</v>
      </c>
      <c r="M3" s="39">
        <v>20</v>
      </c>
      <c r="N3" s="39">
        <v>20</v>
      </c>
      <c r="O3" s="39">
        <v>20</v>
      </c>
      <c r="P3" s="39">
        <v>20</v>
      </c>
      <c r="Q3" s="39">
        <v>20</v>
      </c>
      <c r="R3" s="40">
        <v>0</v>
      </c>
      <c r="S3" s="40">
        <v>0</v>
      </c>
      <c r="T3" s="40">
        <v>0</v>
      </c>
      <c r="U3" s="40">
        <v>0</v>
      </c>
    </row>
    <row r="4" spans="2:21" ht="37.5" customHeight="1" x14ac:dyDescent="0.25">
      <c r="B4" s="1" t="s">
        <v>0</v>
      </c>
      <c r="C4" s="1" t="s">
        <v>1</v>
      </c>
      <c r="D4" s="1" t="s">
        <v>2</v>
      </c>
      <c r="E4" s="1" t="s">
        <v>3</v>
      </c>
      <c r="F4" s="24" t="s">
        <v>4</v>
      </c>
      <c r="G4" s="23" t="s">
        <v>115</v>
      </c>
      <c r="H4" s="23" t="s">
        <v>121</v>
      </c>
      <c r="I4" s="23" t="s">
        <v>120</v>
      </c>
      <c r="J4" s="23" t="s">
        <v>118</v>
      </c>
      <c r="K4" s="23" t="s">
        <v>119</v>
      </c>
      <c r="L4" s="23" t="s">
        <v>122</v>
      </c>
      <c r="M4" s="23" t="s">
        <v>124</v>
      </c>
      <c r="N4" s="37" t="s">
        <v>125</v>
      </c>
      <c r="O4" s="37" t="s">
        <v>126</v>
      </c>
      <c r="P4" s="37" t="s">
        <v>127</v>
      </c>
      <c r="Q4" s="37" t="s">
        <v>128</v>
      </c>
      <c r="R4" s="23" t="s">
        <v>130</v>
      </c>
      <c r="S4" s="37" t="s">
        <v>131</v>
      </c>
      <c r="T4" s="37" t="s">
        <v>132</v>
      </c>
      <c r="U4" s="42" t="s">
        <v>133</v>
      </c>
    </row>
    <row r="5" spans="2:21" ht="19.5" customHeight="1" x14ac:dyDescent="0.25">
      <c r="B5" s="2">
        <v>1</v>
      </c>
      <c r="C5" s="3" t="s">
        <v>5</v>
      </c>
      <c r="D5" s="4" t="s">
        <v>6</v>
      </c>
      <c r="E5" s="5" t="s">
        <v>7</v>
      </c>
      <c r="F5" s="25">
        <v>2</v>
      </c>
      <c r="G5" s="21">
        <v>2</v>
      </c>
      <c r="H5" s="21" t="s">
        <v>117</v>
      </c>
      <c r="I5" s="21" t="s">
        <v>117</v>
      </c>
      <c r="J5" s="21" t="s">
        <v>117</v>
      </c>
      <c r="K5" s="21">
        <v>2</v>
      </c>
      <c r="L5" s="21">
        <v>2</v>
      </c>
      <c r="M5" s="22">
        <v>2</v>
      </c>
      <c r="N5" s="38">
        <v>2</v>
      </c>
      <c r="O5" s="38">
        <v>2</v>
      </c>
      <c r="P5" s="38">
        <v>2</v>
      </c>
      <c r="Q5" s="38">
        <v>2</v>
      </c>
      <c r="R5" s="22">
        <v>2</v>
      </c>
      <c r="S5" s="21">
        <v>2</v>
      </c>
      <c r="T5" s="21">
        <v>2</v>
      </c>
      <c r="U5" s="21">
        <v>2</v>
      </c>
    </row>
    <row r="6" spans="2:21" ht="19.5" customHeight="1" x14ac:dyDescent="0.25">
      <c r="B6" s="7">
        <v>2</v>
      </c>
      <c r="C6" s="6" t="s">
        <v>5</v>
      </c>
      <c r="D6" s="8" t="s">
        <v>8</v>
      </c>
      <c r="E6" s="9" t="s">
        <v>9</v>
      </c>
      <c r="F6" s="25"/>
      <c r="G6" s="22" t="s">
        <v>117</v>
      </c>
      <c r="H6" s="21">
        <v>1</v>
      </c>
      <c r="I6" s="21">
        <v>1</v>
      </c>
      <c r="J6" s="21">
        <v>2</v>
      </c>
      <c r="K6" s="21" t="s">
        <v>114</v>
      </c>
      <c r="L6" s="21" t="s">
        <v>117</v>
      </c>
      <c r="M6" s="22" t="s">
        <v>114</v>
      </c>
      <c r="N6" s="38">
        <v>2</v>
      </c>
      <c r="O6" s="38" t="s">
        <v>117</v>
      </c>
      <c r="P6" s="38" t="s">
        <v>117</v>
      </c>
      <c r="Q6" s="38" t="s">
        <v>117</v>
      </c>
      <c r="R6" s="22" t="s">
        <v>117</v>
      </c>
      <c r="S6" s="21">
        <v>2</v>
      </c>
      <c r="T6" s="21">
        <v>1</v>
      </c>
      <c r="U6" s="21" t="s">
        <v>114</v>
      </c>
    </row>
    <row r="7" spans="2:21" ht="19.5" customHeight="1" x14ac:dyDescent="0.25">
      <c r="B7" s="2">
        <v>3</v>
      </c>
      <c r="C7" s="10" t="s">
        <v>5</v>
      </c>
      <c r="D7" s="4" t="s">
        <v>10</v>
      </c>
      <c r="E7" s="5" t="s">
        <v>11</v>
      </c>
      <c r="F7" s="25"/>
      <c r="G7" s="22">
        <v>2</v>
      </c>
      <c r="H7" s="21">
        <v>2</v>
      </c>
      <c r="I7" s="21">
        <v>1</v>
      </c>
      <c r="J7" s="21">
        <v>2</v>
      </c>
      <c r="K7" s="21">
        <v>2</v>
      </c>
      <c r="L7" s="21">
        <v>1</v>
      </c>
      <c r="M7" s="22">
        <v>2</v>
      </c>
      <c r="N7" s="38">
        <v>2</v>
      </c>
      <c r="O7" s="38">
        <v>2</v>
      </c>
      <c r="P7" s="38">
        <v>2</v>
      </c>
      <c r="Q7" s="38">
        <v>2</v>
      </c>
      <c r="R7" s="22">
        <v>2</v>
      </c>
      <c r="S7" s="21">
        <v>2</v>
      </c>
      <c r="T7" s="21">
        <v>2</v>
      </c>
      <c r="U7" s="21">
        <v>2</v>
      </c>
    </row>
    <row r="8" spans="2:21" ht="19.5" customHeight="1" x14ac:dyDescent="0.25">
      <c r="B8" s="7">
        <v>4</v>
      </c>
      <c r="C8" s="6" t="s">
        <v>5</v>
      </c>
      <c r="D8" s="8" t="s">
        <v>12</v>
      </c>
      <c r="E8" s="9" t="s">
        <v>13</v>
      </c>
      <c r="F8" s="25"/>
      <c r="G8" s="22" t="s">
        <v>117</v>
      </c>
      <c r="H8" s="21">
        <v>1</v>
      </c>
      <c r="I8" s="21">
        <v>2</v>
      </c>
      <c r="J8" s="21">
        <v>2</v>
      </c>
      <c r="K8" s="21" t="s">
        <v>114</v>
      </c>
      <c r="L8" s="21">
        <v>2</v>
      </c>
      <c r="M8" s="22">
        <v>2</v>
      </c>
      <c r="N8" s="38" t="s">
        <v>114</v>
      </c>
      <c r="O8" s="38">
        <v>2</v>
      </c>
      <c r="P8" s="38">
        <v>2</v>
      </c>
      <c r="Q8" s="38">
        <v>2</v>
      </c>
      <c r="R8" s="22">
        <v>2</v>
      </c>
      <c r="S8" s="21">
        <v>2</v>
      </c>
      <c r="T8" s="21">
        <v>1</v>
      </c>
      <c r="U8" s="21">
        <v>2</v>
      </c>
    </row>
    <row r="9" spans="2:21" ht="19.5" customHeight="1" x14ac:dyDescent="0.25">
      <c r="B9" s="2">
        <v>5</v>
      </c>
      <c r="C9" s="10" t="s">
        <v>5</v>
      </c>
      <c r="D9" s="4" t="s">
        <v>14</v>
      </c>
      <c r="E9" s="5" t="s">
        <v>15</v>
      </c>
      <c r="F9" s="25"/>
      <c r="G9" s="22">
        <v>1</v>
      </c>
      <c r="H9" s="21">
        <v>1</v>
      </c>
      <c r="I9" s="21" t="s">
        <v>117</v>
      </c>
      <c r="J9" s="21">
        <v>2</v>
      </c>
      <c r="K9" s="21">
        <v>1</v>
      </c>
      <c r="L9" s="21">
        <v>2</v>
      </c>
      <c r="M9" s="22">
        <v>1</v>
      </c>
      <c r="N9" s="38">
        <v>1</v>
      </c>
      <c r="O9" s="38">
        <v>1</v>
      </c>
      <c r="P9" s="38">
        <v>1</v>
      </c>
      <c r="Q9" s="38">
        <v>1</v>
      </c>
      <c r="R9" s="22">
        <v>1</v>
      </c>
      <c r="S9" s="21">
        <v>1</v>
      </c>
      <c r="T9" s="21">
        <v>1</v>
      </c>
      <c r="U9" s="21">
        <v>1</v>
      </c>
    </row>
    <row r="10" spans="2:21" ht="19.5" customHeight="1" x14ac:dyDescent="0.25">
      <c r="B10" s="7">
        <v>6</v>
      </c>
      <c r="C10" s="6" t="s">
        <v>5</v>
      </c>
      <c r="D10" s="8" t="s">
        <v>14</v>
      </c>
      <c r="E10" s="9" t="s">
        <v>16</v>
      </c>
      <c r="F10" s="25"/>
      <c r="G10" s="22">
        <v>1</v>
      </c>
      <c r="H10" s="21" t="s">
        <v>117</v>
      </c>
      <c r="I10" s="21">
        <v>1</v>
      </c>
      <c r="J10" s="21">
        <v>2</v>
      </c>
      <c r="K10" s="21">
        <v>1</v>
      </c>
      <c r="L10" s="21">
        <v>1</v>
      </c>
      <c r="M10" s="22">
        <v>1</v>
      </c>
      <c r="N10" s="38">
        <v>1</v>
      </c>
      <c r="O10" s="38">
        <v>1</v>
      </c>
      <c r="P10" s="38">
        <v>1</v>
      </c>
      <c r="Q10" s="38" t="s">
        <v>117</v>
      </c>
      <c r="R10" s="22" t="s">
        <v>117</v>
      </c>
      <c r="S10" s="21" t="s">
        <v>114</v>
      </c>
      <c r="T10" s="21" t="s">
        <v>114</v>
      </c>
      <c r="U10" s="21">
        <v>1</v>
      </c>
    </row>
    <row r="11" spans="2:21" ht="19.5" customHeight="1" x14ac:dyDescent="0.25">
      <c r="B11" s="2">
        <v>7</v>
      </c>
      <c r="C11" s="3" t="s">
        <v>17</v>
      </c>
      <c r="D11" s="4" t="s">
        <v>8</v>
      </c>
      <c r="E11" s="5" t="s">
        <v>18</v>
      </c>
      <c r="F11" s="25"/>
      <c r="G11" s="22" t="s">
        <v>117</v>
      </c>
      <c r="H11" s="21" t="s">
        <v>117</v>
      </c>
      <c r="I11" s="21">
        <v>1</v>
      </c>
      <c r="J11" s="21" t="s">
        <v>117</v>
      </c>
      <c r="K11" s="21" t="s">
        <v>114</v>
      </c>
      <c r="L11" s="21">
        <v>2</v>
      </c>
      <c r="M11" s="22" t="s">
        <v>114</v>
      </c>
      <c r="N11" s="38">
        <v>2</v>
      </c>
      <c r="O11" s="38">
        <v>2</v>
      </c>
      <c r="P11" s="38">
        <v>2</v>
      </c>
      <c r="Q11" s="38" t="s">
        <v>117</v>
      </c>
      <c r="R11" s="22">
        <v>2</v>
      </c>
      <c r="S11" s="21">
        <v>2</v>
      </c>
      <c r="T11" s="21" t="s">
        <v>114</v>
      </c>
      <c r="U11" s="21">
        <v>2</v>
      </c>
    </row>
    <row r="12" spans="2:21" ht="19.5" customHeight="1" x14ac:dyDescent="0.25">
      <c r="B12" s="7">
        <v>8</v>
      </c>
      <c r="C12" s="6" t="s">
        <v>17</v>
      </c>
      <c r="D12" s="8" t="s">
        <v>19</v>
      </c>
      <c r="E12" s="9" t="s">
        <v>20</v>
      </c>
      <c r="F12" s="25"/>
      <c r="G12" s="22" t="s">
        <v>117</v>
      </c>
      <c r="H12" s="21">
        <v>1</v>
      </c>
      <c r="I12" s="21" t="s">
        <v>117</v>
      </c>
      <c r="J12" s="21">
        <v>2</v>
      </c>
      <c r="K12" s="21">
        <v>1</v>
      </c>
      <c r="L12" s="21">
        <v>1</v>
      </c>
      <c r="M12" s="22">
        <v>1</v>
      </c>
      <c r="N12" s="38">
        <v>1</v>
      </c>
      <c r="O12" s="38">
        <v>1</v>
      </c>
      <c r="P12" s="38" t="s">
        <v>117</v>
      </c>
      <c r="Q12" s="38">
        <v>1</v>
      </c>
      <c r="R12" s="22">
        <v>1</v>
      </c>
      <c r="S12" s="21">
        <v>1</v>
      </c>
      <c r="T12" s="21">
        <v>1</v>
      </c>
      <c r="U12" s="21">
        <v>1</v>
      </c>
    </row>
    <row r="13" spans="2:21" ht="19.5" customHeight="1" x14ac:dyDescent="0.25">
      <c r="B13" s="2">
        <v>9</v>
      </c>
      <c r="C13" s="10" t="s">
        <v>17</v>
      </c>
      <c r="D13" s="4" t="s">
        <v>10</v>
      </c>
      <c r="E13" s="5" t="s">
        <v>21</v>
      </c>
      <c r="F13" s="25"/>
      <c r="G13" s="22" t="s">
        <v>117</v>
      </c>
      <c r="H13" s="21">
        <v>2</v>
      </c>
      <c r="I13" s="21">
        <v>1</v>
      </c>
      <c r="J13" s="21" t="s">
        <v>117</v>
      </c>
      <c r="K13" s="21">
        <v>2</v>
      </c>
      <c r="L13" s="21">
        <v>2</v>
      </c>
      <c r="M13" s="22" t="s">
        <v>114</v>
      </c>
      <c r="N13" s="38">
        <v>2</v>
      </c>
      <c r="O13" s="38">
        <v>2</v>
      </c>
      <c r="P13" s="38">
        <v>2</v>
      </c>
      <c r="Q13" s="38">
        <v>2</v>
      </c>
      <c r="R13" s="22">
        <v>2</v>
      </c>
      <c r="S13" s="21">
        <v>2</v>
      </c>
      <c r="T13" s="21">
        <v>2</v>
      </c>
      <c r="U13" s="21">
        <v>2</v>
      </c>
    </row>
    <row r="14" spans="2:21" ht="19.5" customHeight="1" x14ac:dyDescent="0.25">
      <c r="B14" s="7">
        <v>10</v>
      </c>
      <c r="C14" s="6" t="s">
        <v>17</v>
      </c>
      <c r="D14" s="8" t="s">
        <v>10</v>
      </c>
      <c r="E14" s="9" t="s">
        <v>22</v>
      </c>
      <c r="F14" s="25"/>
      <c r="G14" s="21">
        <v>2</v>
      </c>
      <c r="H14" s="21">
        <v>2</v>
      </c>
      <c r="I14" s="21" t="s">
        <v>117</v>
      </c>
      <c r="J14" s="21">
        <v>2</v>
      </c>
      <c r="K14" s="21">
        <v>2</v>
      </c>
      <c r="L14" s="21">
        <v>2</v>
      </c>
      <c r="M14" s="22">
        <v>2</v>
      </c>
      <c r="N14" s="38">
        <v>2</v>
      </c>
      <c r="O14" s="38">
        <v>2</v>
      </c>
      <c r="P14" s="38">
        <v>2</v>
      </c>
      <c r="Q14" s="38">
        <v>2</v>
      </c>
      <c r="R14" s="22">
        <v>2</v>
      </c>
      <c r="S14" s="21">
        <v>1</v>
      </c>
      <c r="T14" s="21">
        <v>2</v>
      </c>
      <c r="U14" s="21">
        <v>2</v>
      </c>
    </row>
    <row r="15" spans="2:21" ht="19.5" customHeight="1" x14ac:dyDescent="0.25">
      <c r="B15" s="2">
        <v>11</v>
      </c>
      <c r="C15" s="10" t="s">
        <v>17</v>
      </c>
      <c r="D15" s="4" t="s">
        <v>23</v>
      </c>
      <c r="E15" s="5" t="s">
        <v>24</v>
      </c>
      <c r="F15" s="25"/>
      <c r="G15" s="22" t="s">
        <v>117</v>
      </c>
      <c r="H15" s="21">
        <v>2</v>
      </c>
      <c r="I15" s="21">
        <v>2</v>
      </c>
      <c r="J15" s="21">
        <v>2</v>
      </c>
      <c r="K15" s="21" t="s">
        <v>114</v>
      </c>
      <c r="L15" s="21">
        <v>2</v>
      </c>
      <c r="M15" s="22">
        <v>2</v>
      </c>
      <c r="N15" s="38">
        <v>2</v>
      </c>
      <c r="O15" s="38">
        <v>1</v>
      </c>
      <c r="P15" s="38">
        <v>1</v>
      </c>
      <c r="Q15" s="38">
        <v>1</v>
      </c>
      <c r="R15" s="22" t="s">
        <v>117</v>
      </c>
      <c r="S15" s="21">
        <v>2</v>
      </c>
      <c r="T15" s="22" t="s">
        <v>114</v>
      </c>
      <c r="U15" s="21" t="s">
        <v>114</v>
      </c>
    </row>
    <row r="16" spans="2:21" ht="19.5" customHeight="1" x14ac:dyDescent="0.25">
      <c r="B16" s="7">
        <v>12</v>
      </c>
      <c r="C16" s="6" t="s">
        <v>17</v>
      </c>
      <c r="D16" s="8" t="s">
        <v>23</v>
      </c>
      <c r="E16" s="9" t="s">
        <v>25</v>
      </c>
      <c r="F16" s="25"/>
      <c r="G16" s="21">
        <v>1</v>
      </c>
      <c r="H16" s="21" t="s">
        <v>117</v>
      </c>
      <c r="I16" s="21" t="s">
        <v>117</v>
      </c>
      <c r="J16" s="21" t="s">
        <v>117</v>
      </c>
      <c r="K16" s="21" t="s">
        <v>114</v>
      </c>
      <c r="L16" s="21" t="s">
        <v>117</v>
      </c>
      <c r="M16" s="22">
        <v>2</v>
      </c>
      <c r="N16" s="38" t="s">
        <v>114</v>
      </c>
      <c r="O16" s="38">
        <v>1</v>
      </c>
      <c r="P16" s="38">
        <v>1</v>
      </c>
      <c r="Q16" s="38" t="s">
        <v>117</v>
      </c>
      <c r="R16" s="22">
        <v>2</v>
      </c>
      <c r="S16" s="21" t="s">
        <v>114</v>
      </c>
      <c r="T16" s="21" t="s">
        <v>114</v>
      </c>
      <c r="U16" s="21">
        <v>2</v>
      </c>
    </row>
    <row r="17" spans="2:21" ht="19.5" customHeight="1" x14ac:dyDescent="0.25">
      <c r="B17" s="2">
        <v>13</v>
      </c>
      <c r="C17" s="3" t="s">
        <v>26</v>
      </c>
      <c r="D17" s="4" t="s">
        <v>19</v>
      </c>
      <c r="E17" s="5" t="s">
        <v>27</v>
      </c>
      <c r="F17" s="25"/>
      <c r="G17" s="22" t="s">
        <v>117</v>
      </c>
      <c r="H17" s="21" t="s">
        <v>117</v>
      </c>
      <c r="I17" s="21">
        <v>2</v>
      </c>
      <c r="J17" s="21">
        <v>2</v>
      </c>
      <c r="K17" s="21" t="s">
        <v>114</v>
      </c>
      <c r="L17" s="21">
        <v>2</v>
      </c>
      <c r="M17" s="22">
        <v>2</v>
      </c>
      <c r="N17" s="38" t="s">
        <v>114</v>
      </c>
      <c r="O17" s="38">
        <v>2</v>
      </c>
      <c r="P17" s="38">
        <v>2</v>
      </c>
      <c r="Q17" s="38">
        <v>2</v>
      </c>
      <c r="R17" s="22">
        <v>2</v>
      </c>
      <c r="S17" s="21">
        <v>2</v>
      </c>
      <c r="T17" s="21" t="s">
        <v>114</v>
      </c>
      <c r="U17" s="21">
        <v>2</v>
      </c>
    </row>
    <row r="18" spans="2:21" ht="19.5" customHeight="1" x14ac:dyDescent="0.25">
      <c r="B18" s="7">
        <v>14</v>
      </c>
      <c r="C18" s="6" t="s">
        <v>26</v>
      </c>
      <c r="D18" s="8" t="s">
        <v>28</v>
      </c>
      <c r="E18" s="9" t="s">
        <v>29</v>
      </c>
      <c r="F18" s="25"/>
      <c r="G18" s="22">
        <v>1</v>
      </c>
      <c r="H18" s="21">
        <v>1</v>
      </c>
      <c r="I18" s="21" t="s">
        <v>117</v>
      </c>
      <c r="J18" s="21">
        <v>2</v>
      </c>
      <c r="K18" s="21">
        <v>1</v>
      </c>
      <c r="L18" s="21">
        <v>1</v>
      </c>
      <c r="M18" s="22">
        <v>1</v>
      </c>
      <c r="N18" s="38">
        <v>1</v>
      </c>
      <c r="O18" s="38">
        <v>1</v>
      </c>
      <c r="P18" s="38">
        <v>1</v>
      </c>
      <c r="Q18" s="38">
        <v>1</v>
      </c>
      <c r="R18" s="22">
        <v>1</v>
      </c>
      <c r="S18" s="21">
        <v>1</v>
      </c>
      <c r="T18" s="21">
        <v>1</v>
      </c>
      <c r="U18" s="21">
        <v>1</v>
      </c>
    </row>
    <row r="19" spans="2:21" ht="19.5" customHeight="1" x14ac:dyDescent="0.25">
      <c r="B19" s="2">
        <v>15</v>
      </c>
      <c r="C19" s="10" t="s">
        <v>26</v>
      </c>
      <c r="D19" s="4" t="s">
        <v>12</v>
      </c>
      <c r="E19" s="5" t="s">
        <v>30</v>
      </c>
      <c r="F19" s="25"/>
      <c r="G19" s="21">
        <v>1</v>
      </c>
      <c r="H19" s="21" t="s">
        <v>117</v>
      </c>
      <c r="I19" s="21">
        <v>1</v>
      </c>
      <c r="J19" s="21" t="s">
        <v>117</v>
      </c>
      <c r="K19" s="21">
        <v>1</v>
      </c>
      <c r="L19" s="21">
        <v>2</v>
      </c>
      <c r="M19" s="22" t="s">
        <v>114</v>
      </c>
      <c r="N19" s="38">
        <v>1</v>
      </c>
      <c r="O19" s="38">
        <v>1</v>
      </c>
      <c r="P19" s="38">
        <v>1</v>
      </c>
      <c r="Q19" s="38">
        <v>1</v>
      </c>
      <c r="R19" s="22">
        <v>1</v>
      </c>
      <c r="S19" s="21">
        <v>2</v>
      </c>
      <c r="T19" s="21">
        <v>1</v>
      </c>
      <c r="U19" s="21">
        <v>1</v>
      </c>
    </row>
    <row r="20" spans="2:21" ht="19.5" customHeight="1" x14ac:dyDescent="0.25">
      <c r="B20" s="7">
        <v>16</v>
      </c>
      <c r="C20" s="6" t="s">
        <v>26</v>
      </c>
      <c r="D20" s="8" t="s">
        <v>31</v>
      </c>
      <c r="E20" s="9" t="s">
        <v>32</v>
      </c>
      <c r="F20" s="25"/>
      <c r="G20" s="21">
        <v>2</v>
      </c>
      <c r="H20" s="21">
        <v>2</v>
      </c>
      <c r="I20" s="21">
        <v>2</v>
      </c>
      <c r="J20" s="21">
        <v>2</v>
      </c>
      <c r="K20" s="21">
        <v>2</v>
      </c>
      <c r="L20" s="21">
        <v>2</v>
      </c>
      <c r="M20" s="22">
        <v>2</v>
      </c>
      <c r="N20" s="38">
        <v>2</v>
      </c>
      <c r="O20" s="38">
        <v>2</v>
      </c>
      <c r="P20" s="38">
        <v>2</v>
      </c>
      <c r="Q20" s="38">
        <v>2</v>
      </c>
      <c r="R20" s="22">
        <v>2</v>
      </c>
      <c r="S20" s="21">
        <v>2</v>
      </c>
      <c r="T20" s="21">
        <v>2</v>
      </c>
      <c r="U20" s="21">
        <v>2</v>
      </c>
    </row>
    <row r="21" spans="2:21" ht="19.5" customHeight="1" x14ac:dyDescent="0.25">
      <c r="B21" s="2">
        <v>17</v>
      </c>
      <c r="C21" s="10" t="s">
        <v>26</v>
      </c>
      <c r="D21" s="4" t="s">
        <v>23</v>
      </c>
      <c r="E21" s="5" t="s">
        <v>33</v>
      </c>
      <c r="F21" s="25"/>
      <c r="G21" s="22">
        <v>1</v>
      </c>
      <c r="H21" s="21">
        <v>1</v>
      </c>
      <c r="I21" s="21">
        <v>1</v>
      </c>
      <c r="J21" s="21">
        <v>2</v>
      </c>
      <c r="K21" s="21">
        <v>1</v>
      </c>
      <c r="L21" s="21">
        <v>1</v>
      </c>
      <c r="M21" s="22">
        <v>1</v>
      </c>
      <c r="N21" s="38">
        <v>1</v>
      </c>
      <c r="O21" s="38">
        <v>1</v>
      </c>
      <c r="P21" s="38">
        <v>1</v>
      </c>
      <c r="Q21" s="38">
        <v>1</v>
      </c>
      <c r="R21" s="22">
        <v>1</v>
      </c>
      <c r="S21" s="21">
        <v>1</v>
      </c>
      <c r="T21" s="21">
        <v>1</v>
      </c>
      <c r="U21" s="21">
        <v>1</v>
      </c>
    </row>
    <row r="22" spans="2:21" ht="19.5" customHeight="1" x14ac:dyDescent="0.25">
      <c r="B22" s="7">
        <v>18</v>
      </c>
      <c r="C22" s="6" t="s">
        <v>26</v>
      </c>
      <c r="D22" s="8" t="s">
        <v>23</v>
      </c>
      <c r="E22" s="9" t="s">
        <v>34</v>
      </c>
      <c r="F22" s="25"/>
      <c r="G22" s="21">
        <v>2</v>
      </c>
      <c r="H22" s="21">
        <v>2</v>
      </c>
      <c r="I22" s="21">
        <v>1</v>
      </c>
      <c r="J22" s="21">
        <v>1</v>
      </c>
      <c r="K22" s="21">
        <v>2</v>
      </c>
      <c r="L22" s="21" t="s">
        <v>117</v>
      </c>
      <c r="M22" s="22">
        <v>2</v>
      </c>
      <c r="N22" s="38">
        <v>2</v>
      </c>
      <c r="O22" s="38">
        <v>2</v>
      </c>
      <c r="P22" s="38">
        <v>2</v>
      </c>
      <c r="Q22" s="38">
        <v>2</v>
      </c>
      <c r="R22" s="22">
        <v>2</v>
      </c>
      <c r="S22" s="21">
        <v>2</v>
      </c>
      <c r="T22" s="21">
        <v>2</v>
      </c>
      <c r="U22" s="21">
        <v>2</v>
      </c>
    </row>
    <row r="23" spans="2:21" ht="19.5" customHeight="1" x14ac:dyDescent="0.25">
      <c r="B23" s="2">
        <v>19</v>
      </c>
      <c r="C23" s="3" t="s">
        <v>35</v>
      </c>
      <c r="D23" s="4" t="s">
        <v>19</v>
      </c>
      <c r="E23" s="5" t="s">
        <v>36</v>
      </c>
      <c r="F23" s="25"/>
      <c r="G23" s="22" t="s">
        <v>117</v>
      </c>
      <c r="H23" s="21" t="s">
        <v>117</v>
      </c>
      <c r="I23" s="21" t="s">
        <v>117</v>
      </c>
      <c r="J23" s="21">
        <v>2</v>
      </c>
      <c r="K23" s="21" t="s">
        <v>114</v>
      </c>
      <c r="L23" s="21">
        <v>2</v>
      </c>
      <c r="M23" s="22" t="s">
        <v>114</v>
      </c>
      <c r="N23" s="38" t="s">
        <v>114</v>
      </c>
      <c r="O23" s="38">
        <v>1</v>
      </c>
      <c r="P23" s="38">
        <v>2</v>
      </c>
      <c r="Q23" s="38" t="s">
        <v>117</v>
      </c>
      <c r="R23" s="22">
        <v>2</v>
      </c>
      <c r="S23" s="21">
        <v>2</v>
      </c>
      <c r="T23" s="21" t="s">
        <v>114</v>
      </c>
      <c r="U23" s="21">
        <v>2</v>
      </c>
    </row>
    <row r="24" spans="2:21" ht="19.5" customHeight="1" x14ac:dyDescent="0.25">
      <c r="B24" s="7">
        <v>20</v>
      </c>
      <c r="C24" s="6" t="s">
        <v>35</v>
      </c>
      <c r="D24" s="8" t="s">
        <v>28</v>
      </c>
      <c r="E24" s="9" t="s">
        <v>37</v>
      </c>
      <c r="F24" s="25"/>
      <c r="G24" s="22">
        <v>1</v>
      </c>
      <c r="H24" s="21">
        <v>1</v>
      </c>
      <c r="I24" s="21">
        <v>1</v>
      </c>
      <c r="J24" s="21">
        <v>2</v>
      </c>
      <c r="K24" s="21">
        <v>1</v>
      </c>
      <c r="L24" s="21">
        <v>1</v>
      </c>
      <c r="M24" s="22">
        <v>1</v>
      </c>
      <c r="N24" s="38" t="s">
        <v>114</v>
      </c>
      <c r="O24" s="38">
        <v>2</v>
      </c>
      <c r="P24" s="38">
        <v>1</v>
      </c>
      <c r="Q24" s="38">
        <v>1</v>
      </c>
      <c r="R24" s="22">
        <v>1</v>
      </c>
      <c r="S24" s="21">
        <v>1</v>
      </c>
      <c r="T24" s="21">
        <v>1</v>
      </c>
      <c r="U24" s="21">
        <v>1</v>
      </c>
    </row>
    <row r="25" spans="2:21" ht="19.5" customHeight="1" x14ac:dyDescent="0.25">
      <c r="B25" s="2">
        <v>21</v>
      </c>
      <c r="C25" s="10" t="s">
        <v>35</v>
      </c>
      <c r="D25" s="4" t="s">
        <v>12</v>
      </c>
      <c r="E25" s="5" t="s">
        <v>38</v>
      </c>
      <c r="F25" s="25"/>
      <c r="G25" s="21">
        <v>2</v>
      </c>
      <c r="H25" s="21">
        <v>2</v>
      </c>
      <c r="I25" s="21">
        <v>2</v>
      </c>
      <c r="J25" s="21">
        <v>2</v>
      </c>
      <c r="K25" s="21">
        <v>2</v>
      </c>
      <c r="L25" s="21" t="s">
        <v>117</v>
      </c>
      <c r="M25" s="22">
        <v>2</v>
      </c>
      <c r="N25" s="38">
        <v>2</v>
      </c>
      <c r="O25" s="38">
        <v>2</v>
      </c>
      <c r="P25" s="38" t="s">
        <v>117</v>
      </c>
      <c r="Q25" s="38">
        <v>2</v>
      </c>
      <c r="R25" s="22">
        <v>2</v>
      </c>
      <c r="S25" s="21">
        <v>2</v>
      </c>
      <c r="T25" s="21">
        <v>2</v>
      </c>
      <c r="U25" s="21">
        <v>2</v>
      </c>
    </row>
    <row r="26" spans="2:21" ht="19.5" customHeight="1" x14ac:dyDescent="0.25">
      <c r="B26" s="7">
        <v>22</v>
      </c>
      <c r="C26" s="6" t="s">
        <v>35</v>
      </c>
      <c r="D26" s="8" t="s">
        <v>31</v>
      </c>
      <c r="E26" s="9" t="s">
        <v>39</v>
      </c>
      <c r="F26" s="25"/>
      <c r="G26" s="21">
        <v>2</v>
      </c>
      <c r="H26" s="21">
        <v>1</v>
      </c>
      <c r="I26" s="21" t="s">
        <v>117</v>
      </c>
      <c r="J26" s="21">
        <v>2</v>
      </c>
      <c r="K26" s="21" t="s">
        <v>114</v>
      </c>
      <c r="L26" s="21">
        <v>2</v>
      </c>
      <c r="M26" s="22" t="s">
        <v>114</v>
      </c>
      <c r="N26" s="38">
        <v>1</v>
      </c>
      <c r="O26" s="38">
        <v>1</v>
      </c>
      <c r="P26" s="38">
        <v>2</v>
      </c>
      <c r="Q26" s="38" t="s">
        <v>117</v>
      </c>
      <c r="R26" s="22" t="s">
        <v>117</v>
      </c>
      <c r="S26" s="21">
        <v>2</v>
      </c>
      <c r="T26" s="22" t="s">
        <v>114</v>
      </c>
      <c r="U26" s="22">
        <v>2</v>
      </c>
    </row>
    <row r="27" spans="2:21" ht="19.5" customHeight="1" x14ac:dyDescent="0.25">
      <c r="B27" s="2">
        <v>23</v>
      </c>
      <c r="C27" s="10" t="s">
        <v>35</v>
      </c>
      <c r="D27" s="4" t="s">
        <v>40</v>
      </c>
      <c r="E27" s="5" t="s">
        <v>41</v>
      </c>
      <c r="F27" s="25"/>
      <c r="G27" s="22">
        <v>2</v>
      </c>
      <c r="H27" s="21">
        <v>2</v>
      </c>
      <c r="I27" s="21" t="s">
        <v>117</v>
      </c>
      <c r="J27" s="21">
        <v>2</v>
      </c>
      <c r="K27" s="21">
        <v>2</v>
      </c>
      <c r="L27" s="21">
        <v>1</v>
      </c>
      <c r="M27" s="22" t="s">
        <v>114</v>
      </c>
      <c r="N27" s="38">
        <v>1</v>
      </c>
      <c r="O27" s="38">
        <v>1</v>
      </c>
      <c r="P27" s="38">
        <v>2</v>
      </c>
      <c r="Q27" s="38">
        <v>2</v>
      </c>
      <c r="R27" s="22" t="s">
        <v>117</v>
      </c>
      <c r="S27" s="21">
        <v>2</v>
      </c>
      <c r="T27" s="21">
        <v>2</v>
      </c>
      <c r="U27" s="21">
        <v>1</v>
      </c>
    </row>
    <row r="28" spans="2:21" ht="19.5" customHeight="1" x14ac:dyDescent="0.25">
      <c r="B28" s="7">
        <v>24</v>
      </c>
      <c r="C28" s="6" t="s">
        <v>35</v>
      </c>
      <c r="D28" s="8" t="s">
        <v>40</v>
      </c>
      <c r="E28" s="9" t="s">
        <v>42</v>
      </c>
      <c r="F28" s="25"/>
      <c r="G28" s="21">
        <v>2</v>
      </c>
      <c r="H28" s="21">
        <v>2</v>
      </c>
      <c r="I28" s="21">
        <v>2</v>
      </c>
      <c r="J28" s="21" t="s">
        <v>117</v>
      </c>
      <c r="K28" s="21" t="s">
        <v>114</v>
      </c>
      <c r="L28" s="21">
        <v>1</v>
      </c>
      <c r="M28" s="22">
        <v>2</v>
      </c>
      <c r="N28" s="38">
        <v>2</v>
      </c>
      <c r="O28" s="38" t="s">
        <v>117</v>
      </c>
      <c r="P28" s="38">
        <v>2</v>
      </c>
      <c r="Q28" s="38">
        <v>2</v>
      </c>
      <c r="R28" s="22">
        <v>2</v>
      </c>
      <c r="S28" s="21">
        <v>2</v>
      </c>
      <c r="T28" s="21">
        <v>2</v>
      </c>
      <c r="U28" s="21" t="s">
        <v>114</v>
      </c>
    </row>
    <row r="29" spans="2:21" ht="19.5" customHeight="1" x14ac:dyDescent="0.25">
      <c r="B29" s="2">
        <v>25</v>
      </c>
      <c r="C29" s="3" t="s">
        <v>43</v>
      </c>
      <c r="D29" s="4" t="s">
        <v>28</v>
      </c>
      <c r="E29" s="5" t="s">
        <v>44</v>
      </c>
      <c r="F29" s="25"/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2">
        <v>1</v>
      </c>
      <c r="N29" s="38">
        <v>1</v>
      </c>
      <c r="O29" s="38">
        <v>1</v>
      </c>
      <c r="P29" s="38">
        <v>1</v>
      </c>
      <c r="Q29" s="38">
        <v>1</v>
      </c>
      <c r="R29" s="22">
        <v>1</v>
      </c>
      <c r="S29" s="21">
        <v>1</v>
      </c>
      <c r="T29" s="21">
        <v>1</v>
      </c>
      <c r="U29" s="21">
        <v>1</v>
      </c>
    </row>
    <row r="30" spans="2:21" ht="19.5" customHeight="1" x14ac:dyDescent="0.25">
      <c r="B30" s="7">
        <v>26</v>
      </c>
      <c r="C30" s="6" t="s">
        <v>43</v>
      </c>
      <c r="D30" s="8" t="s">
        <v>28</v>
      </c>
      <c r="E30" s="9" t="s">
        <v>45</v>
      </c>
      <c r="F30" s="25"/>
      <c r="G30" s="22">
        <v>1</v>
      </c>
      <c r="H30" s="21">
        <v>1</v>
      </c>
      <c r="I30" s="21">
        <v>2</v>
      </c>
      <c r="J30" s="21" t="s">
        <v>117</v>
      </c>
      <c r="K30" s="21" t="s">
        <v>114</v>
      </c>
      <c r="L30" s="21">
        <v>1</v>
      </c>
      <c r="M30" s="22">
        <v>1</v>
      </c>
      <c r="N30" s="38" t="s">
        <v>114</v>
      </c>
      <c r="O30" s="38">
        <v>1</v>
      </c>
      <c r="P30" s="38">
        <v>2</v>
      </c>
      <c r="Q30" s="38">
        <v>1</v>
      </c>
      <c r="R30" s="22" t="s">
        <v>117</v>
      </c>
      <c r="S30" s="21">
        <v>1</v>
      </c>
      <c r="T30" s="21">
        <v>1</v>
      </c>
      <c r="U30" s="21" t="s">
        <v>114</v>
      </c>
    </row>
    <row r="31" spans="2:21" ht="19.5" customHeight="1" x14ac:dyDescent="0.25">
      <c r="B31" s="2">
        <v>27</v>
      </c>
      <c r="C31" s="10" t="s">
        <v>43</v>
      </c>
      <c r="D31" s="4" t="s">
        <v>31</v>
      </c>
      <c r="E31" s="5" t="s">
        <v>46</v>
      </c>
      <c r="F31" s="25"/>
      <c r="G31" s="22" t="s">
        <v>117</v>
      </c>
      <c r="H31" s="21">
        <v>2</v>
      </c>
      <c r="I31" s="21" t="s">
        <v>117</v>
      </c>
      <c r="J31" s="21">
        <v>2</v>
      </c>
      <c r="K31" s="21">
        <v>2</v>
      </c>
      <c r="L31" s="21">
        <v>2</v>
      </c>
      <c r="M31" s="22">
        <v>2</v>
      </c>
      <c r="N31" s="38">
        <v>2</v>
      </c>
      <c r="O31" s="38">
        <v>2</v>
      </c>
      <c r="P31" s="38">
        <v>2</v>
      </c>
      <c r="Q31" s="38">
        <v>2</v>
      </c>
      <c r="R31" s="22">
        <v>2</v>
      </c>
      <c r="S31" s="21">
        <v>2</v>
      </c>
      <c r="T31" s="21">
        <v>2</v>
      </c>
      <c r="U31" s="21">
        <v>2</v>
      </c>
    </row>
    <row r="32" spans="2:21" ht="19.5" customHeight="1" x14ac:dyDescent="0.25">
      <c r="B32" s="7">
        <v>28</v>
      </c>
      <c r="C32" s="6" t="s">
        <v>43</v>
      </c>
      <c r="D32" s="8" t="s">
        <v>47</v>
      </c>
      <c r="E32" s="9" t="s">
        <v>48</v>
      </c>
      <c r="F32" s="25"/>
      <c r="G32" s="21">
        <v>2</v>
      </c>
      <c r="H32" s="21">
        <v>2</v>
      </c>
      <c r="I32" s="21">
        <v>2</v>
      </c>
      <c r="J32" s="21" t="s">
        <v>117</v>
      </c>
      <c r="K32" s="21">
        <v>2</v>
      </c>
      <c r="L32" s="21">
        <v>2</v>
      </c>
      <c r="M32" s="22">
        <v>2</v>
      </c>
      <c r="N32" s="38">
        <v>2</v>
      </c>
      <c r="O32" s="38">
        <v>2</v>
      </c>
      <c r="P32" s="38" t="s">
        <v>117</v>
      </c>
      <c r="Q32" s="38">
        <v>2</v>
      </c>
      <c r="R32" s="22">
        <v>2</v>
      </c>
      <c r="S32" s="21">
        <v>2</v>
      </c>
      <c r="T32" s="21">
        <v>2</v>
      </c>
      <c r="U32" s="21">
        <v>2</v>
      </c>
    </row>
    <row r="33" spans="2:21" ht="19.5" customHeight="1" x14ac:dyDescent="0.25">
      <c r="B33" s="2">
        <v>29</v>
      </c>
      <c r="C33" s="10" t="s">
        <v>43</v>
      </c>
      <c r="D33" s="4" t="s">
        <v>14</v>
      </c>
      <c r="E33" s="5" t="s">
        <v>49</v>
      </c>
      <c r="F33" s="25"/>
      <c r="G33" s="22">
        <v>1</v>
      </c>
      <c r="H33" s="21">
        <v>1</v>
      </c>
      <c r="I33" s="21">
        <v>1</v>
      </c>
      <c r="J33" s="21">
        <v>2</v>
      </c>
      <c r="K33" s="21">
        <v>1</v>
      </c>
      <c r="L33" s="21" t="s">
        <v>117</v>
      </c>
      <c r="M33" s="22" t="s">
        <v>114</v>
      </c>
      <c r="N33" s="38">
        <v>1</v>
      </c>
      <c r="O33" s="38">
        <v>1</v>
      </c>
      <c r="P33" s="38">
        <v>1</v>
      </c>
      <c r="Q33" s="38">
        <v>1</v>
      </c>
      <c r="R33" s="22" t="s">
        <v>117</v>
      </c>
      <c r="S33" s="21">
        <v>1</v>
      </c>
      <c r="T33" s="21">
        <v>1</v>
      </c>
      <c r="U33" s="21">
        <v>1</v>
      </c>
    </row>
    <row r="34" spans="2:21" ht="19.5" customHeight="1" x14ac:dyDescent="0.25">
      <c r="B34" s="7">
        <v>30</v>
      </c>
      <c r="C34" s="6" t="s">
        <v>43</v>
      </c>
      <c r="D34" s="8" t="s">
        <v>14</v>
      </c>
      <c r="E34" s="9" t="s">
        <v>50</v>
      </c>
      <c r="F34" s="25"/>
      <c r="G34" s="21">
        <v>1</v>
      </c>
      <c r="H34" s="21">
        <v>1</v>
      </c>
      <c r="I34" s="21">
        <v>1</v>
      </c>
      <c r="J34" s="21">
        <v>2</v>
      </c>
      <c r="K34" s="21">
        <v>1</v>
      </c>
      <c r="L34" s="21">
        <v>1</v>
      </c>
      <c r="M34" s="22">
        <v>1</v>
      </c>
      <c r="N34" s="38">
        <v>1</v>
      </c>
      <c r="O34" s="38">
        <v>1</v>
      </c>
      <c r="P34" s="38">
        <v>2</v>
      </c>
      <c r="Q34" s="38">
        <v>1</v>
      </c>
      <c r="R34" s="22">
        <v>1</v>
      </c>
      <c r="S34" s="22" t="s">
        <v>114</v>
      </c>
      <c r="T34" s="21">
        <v>1</v>
      </c>
      <c r="U34" s="21">
        <v>1</v>
      </c>
    </row>
    <row r="35" spans="2:21" ht="19.5" customHeight="1" x14ac:dyDescent="0.25">
      <c r="B35" s="2">
        <v>31</v>
      </c>
      <c r="C35" s="3" t="s">
        <v>51</v>
      </c>
      <c r="D35" s="4" t="s">
        <v>28</v>
      </c>
      <c r="E35" s="5" t="s">
        <v>52</v>
      </c>
      <c r="F35" s="25"/>
      <c r="G35" s="21">
        <v>2</v>
      </c>
      <c r="H35" s="21" t="s">
        <v>114</v>
      </c>
      <c r="I35" s="21" t="s">
        <v>117</v>
      </c>
      <c r="J35" s="21">
        <v>2</v>
      </c>
      <c r="K35" s="21" t="s">
        <v>114</v>
      </c>
      <c r="L35" s="21">
        <v>2</v>
      </c>
      <c r="M35" s="22">
        <v>2</v>
      </c>
      <c r="N35" s="38">
        <v>1</v>
      </c>
      <c r="O35" s="38" t="s">
        <v>117</v>
      </c>
      <c r="P35" s="38">
        <v>2</v>
      </c>
      <c r="Q35" s="38">
        <v>2</v>
      </c>
      <c r="R35" s="22" t="s">
        <v>117</v>
      </c>
      <c r="S35" s="21">
        <v>2</v>
      </c>
      <c r="T35" s="21" t="s">
        <v>114</v>
      </c>
      <c r="U35" s="21">
        <v>2</v>
      </c>
    </row>
    <row r="36" spans="2:21" ht="19.5" customHeight="1" x14ac:dyDescent="0.25">
      <c r="B36" s="7">
        <v>32</v>
      </c>
      <c r="C36" s="6" t="s">
        <v>51</v>
      </c>
      <c r="D36" s="8" t="s">
        <v>53</v>
      </c>
      <c r="E36" s="9" t="s">
        <v>54</v>
      </c>
      <c r="F36" s="25"/>
      <c r="G36" s="22" t="s">
        <v>117</v>
      </c>
      <c r="H36" s="21">
        <v>2</v>
      </c>
      <c r="I36" s="21">
        <v>2</v>
      </c>
      <c r="J36" s="21">
        <v>2</v>
      </c>
      <c r="K36" s="21" t="s">
        <v>114</v>
      </c>
      <c r="L36" s="21">
        <v>2</v>
      </c>
      <c r="M36" s="22" t="s">
        <v>114</v>
      </c>
      <c r="N36" s="38">
        <v>2</v>
      </c>
      <c r="O36" s="38">
        <v>1</v>
      </c>
      <c r="P36" s="38">
        <v>2</v>
      </c>
      <c r="Q36" s="38" t="s">
        <v>117</v>
      </c>
      <c r="R36" s="22" t="s">
        <v>117</v>
      </c>
      <c r="S36" s="22" t="s">
        <v>114</v>
      </c>
      <c r="T36" s="22" t="s">
        <v>114</v>
      </c>
      <c r="U36" s="22">
        <v>2</v>
      </c>
    </row>
    <row r="37" spans="2:21" ht="19.5" customHeight="1" x14ac:dyDescent="0.25">
      <c r="B37" s="2">
        <v>33</v>
      </c>
      <c r="C37" s="10" t="s">
        <v>51</v>
      </c>
      <c r="D37" s="4" t="s">
        <v>31</v>
      </c>
      <c r="E37" s="5" t="s">
        <v>55</v>
      </c>
      <c r="F37" s="25"/>
      <c r="G37" s="21">
        <v>2</v>
      </c>
      <c r="H37" s="21">
        <v>2</v>
      </c>
      <c r="I37" s="21" t="s">
        <v>117</v>
      </c>
      <c r="J37" s="21">
        <v>2</v>
      </c>
      <c r="K37" s="21">
        <v>2</v>
      </c>
      <c r="L37" s="21" t="s">
        <v>117</v>
      </c>
      <c r="M37" s="22">
        <v>2</v>
      </c>
      <c r="N37" s="38">
        <v>2</v>
      </c>
      <c r="O37" s="38">
        <v>2</v>
      </c>
      <c r="P37" s="38">
        <v>2</v>
      </c>
      <c r="Q37" s="38">
        <v>2</v>
      </c>
      <c r="R37" s="22">
        <v>2</v>
      </c>
      <c r="S37" s="21">
        <v>2</v>
      </c>
      <c r="T37" s="21">
        <v>2</v>
      </c>
      <c r="U37" s="21">
        <v>2</v>
      </c>
    </row>
    <row r="38" spans="2:21" ht="19.5" customHeight="1" x14ac:dyDescent="0.25">
      <c r="B38" s="7">
        <v>34</v>
      </c>
      <c r="C38" s="6" t="s">
        <v>51</v>
      </c>
      <c r="D38" s="8" t="s">
        <v>47</v>
      </c>
      <c r="E38" s="9" t="s">
        <v>56</v>
      </c>
      <c r="F38" s="25"/>
      <c r="G38" s="21">
        <v>1</v>
      </c>
      <c r="H38" s="21">
        <v>1</v>
      </c>
      <c r="I38" s="21">
        <v>1</v>
      </c>
      <c r="J38" s="21">
        <v>1</v>
      </c>
      <c r="K38" s="21">
        <v>1</v>
      </c>
      <c r="L38" s="21">
        <v>1</v>
      </c>
      <c r="M38" s="22" t="s">
        <v>114</v>
      </c>
      <c r="N38" s="38">
        <v>1</v>
      </c>
      <c r="O38" s="38">
        <v>1</v>
      </c>
      <c r="P38" s="38">
        <v>1</v>
      </c>
      <c r="Q38" s="38">
        <v>1</v>
      </c>
      <c r="R38" s="22">
        <v>1</v>
      </c>
      <c r="S38" s="21">
        <v>1</v>
      </c>
      <c r="T38" s="21">
        <v>1</v>
      </c>
      <c r="U38" s="21">
        <v>1</v>
      </c>
    </row>
    <row r="39" spans="2:21" ht="19.5" customHeight="1" x14ac:dyDescent="0.25">
      <c r="B39" s="2">
        <v>35</v>
      </c>
      <c r="C39" s="10" t="s">
        <v>51</v>
      </c>
      <c r="D39" s="4" t="s">
        <v>14</v>
      </c>
      <c r="E39" s="5" t="s">
        <v>57</v>
      </c>
      <c r="F39" s="25"/>
      <c r="G39" s="22">
        <v>1</v>
      </c>
      <c r="H39" s="21">
        <v>1</v>
      </c>
      <c r="I39" s="21">
        <v>1</v>
      </c>
      <c r="J39" s="21" t="s">
        <v>117</v>
      </c>
      <c r="K39" s="21">
        <v>1</v>
      </c>
      <c r="L39" s="21">
        <v>1</v>
      </c>
      <c r="M39" s="22">
        <v>1</v>
      </c>
      <c r="N39" s="38">
        <v>1</v>
      </c>
      <c r="O39" s="38">
        <v>1</v>
      </c>
      <c r="P39" s="38">
        <v>1</v>
      </c>
      <c r="Q39" s="38">
        <v>1</v>
      </c>
      <c r="R39" s="22">
        <v>1</v>
      </c>
      <c r="S39" s="21">
        <v>1</v>
      </c>
      <c r="T39" s="21">
        <v>1</v>
      </c>
      <c r="U39" s="21">
        <v>1</v>
      </c>
    </row>
    <row r="40" spans="2:21" ht="19.5" customHeight="1" x14ac:dyDescent="0.25">
      <c r="B40" s="7">
        <v>36</v>
      </c>
      <c r="C40" s="6" t="s">
        <v>51</v>
      </c>
      <c r="D40" s="8" t="s">
        <v>14</v>
      </c>
      <c r="E40" s="9" t="s">
        <v>58</v>
      </c>
      <c r="F40" s="25"/>
      <c r="G40" s="21">
        <v>2</v>
      </c>
      <c r="H40" s="21" t="s">
        <v>114</v>
      </c>
      <c r="I40" s="21" t="s">
        <v>117</v>
      </c>
      <c r="J40" s="21">
        <v>2</v>
      </c>
      <c r="K40" s="21" t="s">
        <v>114</v>
      </c>
      <c r="L40" s="21" t="s">
        <v>117</v>
      </c>
      <c r="M40" s="22">
        <v>2</v>
      </c>
      <c r="N40" s="38">
        <v>2</v>
      </c>
      <c r="O40" s="38">
        <v>2</v>
      </c>
      <c r="P40" s="38">
        <v>2</v>
      </c>
      <c r="Q40" s="38">
        <v>2</v>
      </c>
      <c r="R40" s="22" t="s">
        <v>117</v>
      </c>
      <c r="S40" s="21" t="s">
        <v>114</v>
      </c>
      <c r="T40" s="21" t="s">
        <v>114</v>
      </c>
      <c r="U40" s="21" t="s">
        <v>114</v>
      </c>
    </row>
    <row r="41" spans="2:21" ht="19.5" customHeight="1" x14ac:dyDescent="0.25">
      <c r="B41" s="2">
        <v>37</v>
      </c>
      <c r="C41" s="3" t="s">
        <v>59</v>
      </c>
      <c r="D41" s="4" t="s">
        <v>53</v>
      </c>
      <c r="E41" s="5" t="s">
        <v>60</v>
      </c>
      <c r="F41" s="25"/>
      <c r="G41" s="21">
        <v>2</v>
      </c>
      <c r="H41" s="21">
        <v>2</v>
      </c>
      <c r="I41" s="21">
        <v>2</v>
      </c>
      <c r="J41" s="21">
        <v>1</v>
      </c>
      <c r="K41" s="21">
        <v>2</v>
      </c>
      <c r="L41" s="21">
        <v>2</v>
      </c>
      <c r="M41" s="22">
        <v>2</v>
      </c>
      <c r="N41" s="38">
        <v>2</v>
      </c>
      <c r="O41" s="38">
        <v>2</v>
      </c>
      <c r="P41" s="38">
        <v>2</v>
      </c>
      <c r="Q41" s="38">
        <v>2</v>
      </c>
      <c r="R41" s="22">
        <v>2</v>
      </c>
      <c r="S41" s="21">
        <v>2</v>
      </c>
      <c r="T41" s="21">
        <v>2</v>
      </c>
      <c r="U41" s="21">
        <v>2</v>
      </c>
    </row>
    <row r="42" spans="2:21" ht="19.5" customHeight="1" x14ac:dyDescent="0.25">
      <c r="B42" s="7">
        <v>38</v>
      </c>
      <c r="C42" s="6" t="s">
        <v>59</v>
      </c>
      <c r="D42" s="8" t="s">
        <v>61</v>
      </c>
      <c r="E42" s="9" t="s">
        <v>62</v>
      </c>
      <c r="F42" s="25"/>
      <c r="G42" s="22">
        <v>2</v>
      </c>
      <c r="H42" s="21" t="s">
        <v>114</v>
      </c>
      <c r="I42" s="21">
        <v>2</v>
      </c>
      <c r="J42" s="21">
        <v>1</v>
      </c>
      <c r="K42" s="21">
        <v>2</v>
      </c>
      <c r="L42" s="21">
        <v>1</v>
      </c>
      <c r="M42" s="22">
        <v>2</v>
      </c>
      <c r="N42" s="38">
        <v>2</v>
      </c>
      <c r="O42" s="38">
        <v>2</v>
      </c>
      <c r="P42" s="38">
        <v>1</v>
      </c>
      <c r="Q42" s="38">
        <v>2</v>
      </c>
      <c r="R42" s="22">
        <v>2</v>
      </c>
      <c r="S42" s="21">
        <v>1</v>
      </c>
      <c r="T42" s="21" t="s">
        <v>114</v>
      </c>
      <c r="U42" s="21">
        <v>2</v>
      </c>
    </row>
    <row r="43" spans="2:21" ht="19.5" customHeight="1" x14ac:dyDescent="0.25">
      <c r="B43" s="2">
        <v>39</v>
      </c>
      <c r="C43" s="10" t="s">
        <v>59</v>
      </c>
      <c r="D43" s="4" t="s">
        <v>47</v>
      </c>
      <c r="E43" s="5" t="s">
        <v>63</v>
      </c>
      <c r="F43" s="25"/>
      <c r="G43" s="22" t="s">
        <v>117</v>
      </c>
      <c r="H43" s="21">
        <v>2</v>
      </c>
      <c r="I43" s="21" t="s">
        <v>117</v>
      </c>
      <c r="J43" s="21">
        <v>2</v>
      </c>
      <c r="K43" s="21" t="s">
        <v>114</v>
      </c>
      <c r="L43" s="21">
        <v>2</v>
      </c>
      <c r="M43" s="22">
        <v>2</v>
      </c>
      <c r="N43" s="38">
        <v>2</v>
      </c>
      <c r="O43" s="38">
        <v>2</v>
      </c>
      <c r="P43" s="38">
        <v>2</v>
      </c>
      <c r="Q43" s="38">
        <v>2</v>
      </c>
      <c r="R43" s="22" t="s">
        <v>117</v>
      </c>
      <c r="S43" s="21">
        <v>2</v>
      </c>
      <c r="T43" s="21">
        <v>2</v>
      </c>
      <c r="U43" s="21">
        <v>2</v>
      </c>
    </row>
    <row r="44" spans="2:21" ht="19.5" customHeight="1" x14ac:dyDescent="0.25">
      <c r="B44" s="7">
        <v>40</v>
      </c>
      <c r="C44" s="6" t="s">
        <v>59</v>
      </c>
      <c r="D44" s="8" t="s">
        <v>64</v>
      </c>
      <c r="E44" s="9" t="s">
        <v>65</v>
      </c>
      <c r="F44" s="25"/>
      <c r="G44" s="21">
        <v>1</v>
      </c>
      <c r="H44" s="22" t="s">
        <v>114</v>
      </c>
      <c r="I44" s="21">
        <v>2</v>
      </c>
      <c r="J44" s="21">
        <v>2</v>
      </c>
      <c r="K44" s="21">
        <v>1</v>
      </c>
      <c r="L44" s="21">
        <v>2</v>
      </c>
      <c r="M44" s="22">
        <v>1</v>
      </c>
      <c r="N44" s="38" t="s">
        <v>114</v>
      </c>
      <c r="O44" s="38">
        <v>1</v>
      </c>
      <c r="P44" s="38">
        <v>1</v>
      </c>
      <c r="Q44" s="38">
        <v>1</v>
      </c>
      <c r="R44" s="22">
        <v>1</v>
      </c>
      <c r="S44" s="22">
        <v>1</v>
      </c>
      <c r="T44" s="22">
        <v>1</v>
      </c>
      <c r="U44" s="22">
        <v>1</v>
      </c>
    </row>
    <row r="45" spans="2:21" ht="19.5" customHeight="1" x14ac:dyDescent="0.25">
      <c r="B45" s="2">
        <v>41</v>
      </c>
      <c r="C45" s="10" t="s">
        <v>59</v>
      </c>
      <c r="D45" s="4" t="s">
        <v>66</v>
      </c>
      <c r="E45" s="5" t="s">
        <v>67</v>
      </c>
      <c r="F45" s="25"/>
      <c r="G45" s="22">
        <v>1</v>
      </c>
      <c r="H45" s="21">
        <v>1</v>
      </c>
      <c r="I45" s="21">
        <v>1</v>
      </c>
      <c r="J45" s="21">
        <v>2</v>
      </c>
      <c r="K45" s="21">
        <v>1</v>
      </c>
      <c r="L45" s="21">
        <v>1</v>
      </c>
      <c r="M45" s="22">
        <v>1</v>
      </c>
      <c r="N45" s="38">
        <v>1</v>
      </c>
      <c r="O45" s="38">
        <v>1</v>
      </c>
      <c r="P45" s="38">
        <v>1</v>
      </c>
      <c r="Q45" s="38">
        <v>1</v>
      </c>
      <c r="R45" s="22">
        <v>1</v>
      </c>
      <c r="S45" s="22" t="s">
        <v>114</v>
      </c>
      <c r="T45" s="21">
        <v>1</v>
      </c>
      <c r="U45" s="21">
        <v>1</v>
      </c>
    </row>
    <row r="46" spans="2:21" ht="19.5" customHeight="1" x14ac:dyDescent="0.25">
      <c r="B46" s="7">
        <v>42</v>
      </c>
      <c r="C46" s="6" t="s">
        <v>59</v>
      </c>
      <c r="D46" s="8" t="s">
        <v>66</v>
      </c>
      <c r="E46" s="9" t="s">
        <v>68</v>
      </c>
      <c r="F46" s="25"/>
      <c r="G46" s="21">
        <v>2</v>
      </c>
      <c r="H46" s="21">
        <v>2</v>
      </c>
      <c r="I46" s="21" t="s">
        <v>117</v>
      </c>
      <c r="J46" s="21">
        <v>1</v>
      </c>
      <c r="K46" s="21" t="s">
        <v>114</v>
      </c>
      <c r="L46" s="21">
        <v>1</v>
      </c>
      <c r="M46" s="22" t="s">
        <v>114</v>
      </c>
      <c r="N46" s="38">
        <v>1</v>
      </c>
      <c r="O46" s="38">
        <v>1</v>
      </c>
      <c r="P46" s="38">
        <v>2</v>
      </c>
      <c r="Q46" s="38" t="s">
        <v>117</v>
      </c>
      <c r="R46" s="22" t="s">
        <v>117</v>
      </c>
      <c r="S46" s="21">
        <v>2</v>
      </c>
      <c r="T46" s="21">
        <v>2</v>
      </c>
      <c r="U46" s="21" t="s">
        <v>114</v>
      </c>
    </row>
    <row r="47" spans="2:21" ht="19.5" customHeight="1" x14ac:dyDescent="0.25">
      <c r="B47" s="2">
        <v>43</v>
      </c>
      <c r="C47" s="3" t="s">
        <v>69</v>
      </c>
      <c r="D47" s="4" t="s">
        <v>53</v>
      </c>
      <c r="E47" s="5" t="s">
        <v>70</v>
      </c>
      <c r="F47" s="26"/>
      <c r="G47" s="21">
        <v>2</v>
      </c>
      <c r="H47" s="22">
        <v>2</v>
      </c>
      <c r="I47" s="22">
        <v>2</v>
      </c>
      <c r="J47" s="22">
        <v>2</v>
      </c>
      <c r="K47" s="22">
        <v>2</v>
      </c>
      <c r="L47" s="22">
        <v>2</v>
      </c>
      <c r="M47" s="22">
        <v>2</v>
      </c>
      <c r="N47" s="38">
        <v>2</v>
      </c>
      <c r="O47" s="38">
        <v>2</v>
      </c>
      <c r="P47" s="38">
        <v>2</v>
      </c>
      <c r="Q47" s="38">
        <v>2</v>
      </c>
      <c r="R47" s="22">
        <v>2</v>
      </c>
      <c r="S47" s="22">
        <v>2</v>
      </c>
      <c r="T47" s="22">
        <v>2</v>
      </c>
      <c r="U47" s="22">
        <v>2</v>
      </c>
    </row>
    <row r="48" spans="2:21" ht="19.5" customHeight="1" x14ac:dyDescent="0.25">
      <c r="B48" s="7">
        <v>44</v>
      </c>
      <c r="C48" s="6" t="s">
        <v>69</v>
      </c>
      <c r="D48" s="8" t="s">
        <v>53</v>
      </c>
      <c r="E48" s="9" t="s">
        <v>71</v>
      </c>
      <c r="F48" s="26"/>
      <c r="G48" s="22">
        <v>1</v>
      </c>
      <c r="H48" s="22">
        <v>1</v>
      </c>
      <c r="I48" s="22">
        <v>1</v>
      </c>
      <c r="J48" s="22">
        <v>1</v>
      </c>
      <c r="K48" s="22">
        <v>1</v>
      </c>
      <c r="L48" s="22">
        <v>1</v>
      </c>
      <c r="M48" s="22">
        <v>1</v>
      </c>
      <c r="N48" s="38">
        <v>1</v>
      </c>
      <c r="O48" s="38">
        <v>1</v>
      </c>
      <c r="P48" s="38">
        <v>1</v>
      </c>
      <c r="Q48" s="38">
        <v>1</v>
      </c>
      <c r="R48" s="22">
        <v>1</v>
      </c>
      <c r="S48" s="22">
        <v>2</v>
      </c>
      <c r="T48" s="22">
        <v>1</v>
      </c>
      <c r="U48" s="22">
        <v>1</v>
      </c>
    </row>
    <row r="49" spans="2:21" ht="19.5" customHeight="1" x14ac:dyDescent="0.25">
      <c r="B49" s="2">
        <v>45</v>
      </c>
      <c r="C49" s="10" t="s">
        <v>69</v>
      </c>
      <c r="D49" s="4" t="s">
        <v>47</v>
      </c>
      <c r="E49" s="5" t="s">
        <v>72</v>
      </c>
      <c r="F49" s="26"/>
      <c r="G49" s="21">
        <v>2</v>
      </c>
      <c r="H49" s="22">
        <v>2</v>
      </c>
      <c r="I49" s="22">
        <v>2</v>
      </c>
      <c r="J49" s="22">
        <v>2</v>
      </c>
      <c r="K49" s="22">
        <v>2</v>
      </c>
      <c r="L49" s="22">
        <v>2</v>
      </c>
      <c r="M49" s="22">
        <v>2</v>
      </c>
      <c r="N49" s="38">
        <v>2</v>
      </c>
      <c r="O49" s="38">
        <v>2</v>
      </c>
      <c r="P49" s="38">
        <v>2</v>
      </c>
      <c r="Q49" s="38">
        <v>2</v>
      </c>
      <c r="R49" s="22">
        <v>2</v>
      </c>
      <c r="S49" s="22">
        <v>2</v>
      </c>
      <c r="T49" s="22">
        <v>2</v>
      </c>
      <c r="U49" s="22">
        <v>2</v>
      </c>
    </row>
    <row r="50" spans="2:21" ht="19.5" customHeight="1" x14ac:dyDescent="0.25">
      <c r="B50" s="7">
        <v>46</v>
      </c>
      <c r="C50" s="6" t="s">
        <v>69</v>
      </c>
      <c r="D50" s="8" t="s">
        <v>47</v>
      </c>
      <c r="E50" s="9" t="s">
        <v>73</v>
      </c>
      <c r="F50" s="26"/>
      <c r="G50" s="21">
        <v>2</v>
      </c>
      <c r="H50" s="22">
        <v>2</v>
      </c>
      <c r="I50" s="22">
        <v>2</v>
      </c>
      <c r="J50" s="22">
        <v>2</v>
      </c>
      <c r="K50" s="22">
        <v>2</v>
      </c>
      <c r="L50" s="22">
        <v>2</v>
      </c>
      <c r="M50" s="22">
        <v>2</v>
      </c>
      <c r="N50" s="38">
        <v>2</v>
      </c>
      <c r="O50" s="38">
        <v>2</v>
      </c>
      <c r="P50" s="38">
        <v>2</v>
      </c>
      <c r="Q50" s="38">
        <v>2</v>
      </c>
      <c r="R50" s="22">
        <v>2</v>
      </c>
      <c r="S50" s="22" t="s">
        <v>114</v>
      </c>
      <c r="T50" s="22">
        <v>2</v>
      </c>
      <c r="U50" s="22">
        <v>2</v>
      </c>
    </row>
    <row r="51" spans="2:21" ht="19.5" customHeight="1" x14ac:dyDescent="0.25">
      <c r="B51" s="2">
        <v>47</v>
      </c>
      <c r="C51" s="10" t="s">
        <v>69</v>
      </c>
      <c r="D51" s="4" t="s">
        <v>66</v>
      </c>
      <c r="E51" s="5" t="s">
        <v>74</v>
      </c>
      <c r="F51" s="26"/>
      <c r="G51" s="22">
        <v>1</v>
      </c>
      <c r="H51" s="22">
        <v>1</v>
      </c>
      <c r="I51" s="22" t="s">
        <v>117</v>
      </c>
      <c r="J51" s="22">
        <v>2</v>
      </c>
      <c r="K51" s="22">
        <v>2</v>
      </c>
      <c r="L51" s="22">
        <v>1</v>
      </c>
      <c r="M51" s="22" t="s">
        <v>114</v>
      </c>
      <c r="N51" s="38" t="s">
        <v>114</v>
      </c>
      <c r="O51" s="38">
        <v>1</v>
      </c>
      <c r="P51" s="38">
        <v>1</v>
      </c>
      <c r="Q51" s="38">
        <v>1</v>
      </c>
      <c r="R51" s="22" t="s">
        <v>117</v>
      </c>
      <c r="S51" s="22">
        <v>1</v>
      </c>
      <c r="T51" s="22">
        <v>1</v>
      </c>
      <c r="U51" s="22">
        <v>1</v>
      </c>
    </row>
    <row r="52" spans="2:21" ht="19.5" customHeight="1" x14ac:dyDescent="0.25">
      <c r="B52" s="7">
        <v>48</v>
      </c>
      <c r="C52" s="6" t="s">
        <v>69</v>
      </c>
      <c r="D52" s="8" t="s">
        <v>66</v>
      </c>
      <c r="E52" s="9" t="s">
        <v>75</v>
      </c>
      <c r="F52" s="26"/>
      <c r="G52" s="21">
        <v>1</v>
      </c>
      <c r="H52" s="22" t="s">
        <v>114</v>
      </c>
      <c r="I52" s="22" t="s">
        <v>117</v>
      </c>
      <c r="J52" s="22" t="s">
        <v>117</v>
      </c>
      <c r="K52" s="22" t="s">
        <v>114</v>
      </c>
      <c r="L52" s="22">
        <v>1</v>
      </c>
      <c r="M52" s="22">
        <v>1</v>
      </c>
      <c r="N52" s="38" t="s">
        <v>114</v>
      </c>
      <c r="O52" s="38">
        <v>1</v>
      </c>
      <c r="P52" s="38">
        <v>1</v>
      </c>
      <c r="Q52" s="38" t="s">
        <v>117</v>
      </c>
      <c r="R52" s="22">
        <v>2</v>
      </c>
      <c r="S52" s="22">
        <v>1</v>
      </c>
      <c r="T52" s="22" t="s">
        <v>114</v>
      </c>
      <c r="U52" s="22">
        <v>1</v>
      </c>
    </row>
    <row r="53" spans="2:21" ht="19.5" customHeight="1" x14ac:dyDescent="0.25">
      <c r="B53" s="2">
        <v>49</v>
      </c>
      <c r="C53" s="3" t="s">
        <v>76</v>
      </c>
      <c r="D53" s="4" t="s">
        <v>61</v>
      </c>
      <c r="E53" s="5" t="s">
        <v>77</v>
      </c>
      <c r="F53" s="26"/>
      <c r="G53" s="22" t="s">
        <v>117</v>
      </c>
      <c r="H53" s="22" t="s">
        <v>114</v>
      </c>
      <c r="I53" s="22" t="s">
        <v>117</v>
      </c>
      <c r="J53" s="22">
        <v>2</v>
      </c>
      <c r="K53" s="22">
        <v>2</v>
      </c>
      <c r="L53" s="22">
        <v>2</v>
      </c>
      <c r="M53" s="22">
        <v>2</v>
      </c>
      <c r="N53" s="38">
        <v>2</v>
      </c>
      <c r="O53" s="38">
        <v>2</v>
      </c>
      <c r="P53" s="38">
        <v>1</v>
      </c>
      <c r="Q53" s="38">
        <v>2</v>
      </c>
      <c r="R53" s="22">
        <v>2</v>
      </c>
      <c r="S53" s="22">
        <v>2</v>
      </c>
      <c r="T53" s="22" t="s">
        <v>114</v>
      </c>
      <c r="U53" s="22">
        <v>2</v>
      </c>
    </row>
    <row r="54" spans="2:21" ht="19.5" customHeight="1" x14ac:dyDescent="0.25">
      <c r="B54" s="7">
        <v>50</v>
      </c>
      <c r="C54" s="6" t="s">
        <v>76</v>
      </c>
      <c r="D54" s="8" t="s">
        <v>61</v>
      </c>
      <c r="E54" s="9" t="s">
        <v>78</v>
      </c>
      <c r="F54" s="26"/>
      <c r="G54" s="22" t="s">
        <v>117</v>
      </c>
      <c r="H54" s="22">
        <v>1</v>
      </c>
      <c r="I54" s="22">
        <v>1</v>
      </c>
      <c r="J54" s="22">
        <v>2</v>
      </c>
      <c r="K54" s="22">
        <v>1</v>
      </c>
      <c r="L54" s="22">
        <v>1</v>
      </c>
      <c r="M54" s="22">
        <v>1</v>
      </c>
      <c r="N54" s="38">
        <v>1</v>
      </c>
      <c r="O54" s="38">
        <v>1</v>
      </c>
      <c r="P54" s="38">
        <v>1</v>
      </c>
      <c r="Q54" s="38">
        <v>1</v>
      </c>
      <c r="R54" s="22">
        <v>1</v>
      </c>
      <c r="S54" s="22">
        <v>1</v>
      </c>
      <c r="T54" s="22">
        <v>1</v>
      </c>
      <c r="U54" s="22">
        <v>1</v>
      </c>
    </row>
    <row r="55" spans="2:21" ht="19.5" customHeight="1" x14ac:dyDescent="0.25">
      <c r="B55" s="2">
        <v>51</v>
      </c>
      <c r="C55" s="10" t="s">
        <v>76</v>
      </c>
      <c r="D55" s="4" t="s">
        <v>64</v>
      </c>
      <c r="E55" s="5" t="s">
        <v>79</v>
      </c>
      <c r="F55" s="26"/>
      <c r="G55" s="21">
        <v>2</v>
      </c>
      <c r="H55" s="22">
        <v>2</v>
      </c>
      <c r="I55" s="22">
        <v>2</v>
      </c>
      <c r="J55" s="22">
        <v>2</v>
      </c>
      <c r="K55" s="22">
        <v>2</v>
      </c>
      <c r="L55" s="22">
        <v>2</v>
      </c>
      <c r="M55" s="22">
        <v>2</v>
      </c>
      <c r="N55" s="38">
        <v>2</v>
      </c>
      <c r="O55" s="38">
        <v>2</v>
      </c>
      <c r="P55" s="38">
        <v>2</v>
      </c>
      <c r="Q55" s="38">
        <v>2</v>
      </c>
      <c r="R55" s="22">
        <v>2</v>
      </c>
      <c r="S55" s="22">
        <v>2</v>
      </c>
      <c r="T55" s="22">
        <v>2</v>
      </c>
      <c r="U55" s="22">
        <v>2</v>
      </c>
    </row>
    <row r="56" spans="2:21" ht="19.5" customHeight="1" x14ac:dyDescent="0.25">
      <c r="B56" s="7">
        <v>52</v>
      </c>
      <c r="C56" s="6" t="s">
        <v>76</v>
      </c>
      <c r="D56" s="8" t="s">
        <v>80</v>
      </c>
      <c r="E56" s="9" t="s">
        <v>81</v>
      </c>
      <c r="F56" s="26"/>
      <c r="G56" s="21">
        <v>1</v>
      </c>
      <c r="H56" s="22" t="s">
        <v>114</v>
      </c>
      <c r="I56" s="22" t="s">
        <v>117</v>
      </c>
      <c r="J56" s="22">
        <v>2</v>
      </c>
      <c r="K56" s="22" t="s">
        <v>114</v>
      </c>
      <c r="L56" s="22">
        <v>2</v>
      </c>
      <c r="M56" s="22">
        <v>2</v>
      </c>
      <c r="N56" s="38">
        <v>1</v>
      </c>
      <c r="O56" s="38">
        <v>1</v>
      </c>
      <c r="P56" s="38" t="s">
        <v>117</v>
      </c>
      <c r="Q56" s="38" t="s">
        <v>117</v>
      </c>
      <c r="R56" s="22" t="s">
        <v>117</v>
      </c>
      <c r="S56" s="22" t="s">
        <v>114</v>
      </c>
      <c r="T56" s="22" t="s">
        <v>114</v>
      </c>
      <c r="U56" s="21" t="s">
        <v>114</v>
      </c>
    </row>
    <row r="57" spans="2:21" ht="19.5" customHeight="1" x14ac:dyDescent="0.25">
      <c r="B57" s="2">
        <v>53</v>
      </c>
      <c r="C57" s="10" t="s">
        <v>76</v>
      </c>
      <c r="D57" s="4" t="s">
        <v>40</v>
      </c>
      <c r="E57" s="5" t="s">
        <v>82</v>
      </c>
      <c r="F57" s="26"/>
      <c r="G57" s="22">
        <v>1</v>
      </c>
      <c r="H57" s="22">
        <v>1</v>
      </c>
      <c r="I57" s="22">
        <v>1</v>
      </c>
      <c r="J57" s="22">
        <v>1</v>
      </c>
      <c r="K57" s="22">
        <v>1</v>
      </c>
      <c r="L57" s="22" t="s">
        <v>117</v>
      </c>
      <c r="M57" s="22">
        <v>1</v>
      </c>
      <c r="N57" s="38">
        <v>1</v>
      </c>
      <c r="O57" s="38">
        <v>1</v>
      </c>
      <c r="P57" s="38">
        <v>2</v>
      </c>
      <c r="Q57" s="38">
        <v>1</v>
      </c>
      <c r="R57" s="22">
        <v>1</v>
      </c>
      <c r="S57" s="22">
        <v>1</v>
      </c>
      <c r="T57" s="22">
        <v>1</v>
      </c>
      <c r="U57" s="22">
        <v>1</v>
      </c>
    </row>
    <row r="58" spans="2:21" ht="19.5" customHeight="1" x14ac:dyDescent="0.25">
      <c r="B58" s="7">
        <v>54</v>
      </c>
      <c r="C58" s="6" t="s">
        <v>76</v>
      </c>
      <c r="D58" s="8" t="s">
        <v>40</v>
      </c>
      <c r="E58" s="9" t="s">
        <v>83</v>
      </c>
      <c r="F58" s="26"/>
      <c r="G58" s="21">
        <v>2</v>
      </c>
      <c r="H58" s="22">
        <v>2</v>
      </c>
      <c r="I58" s="22" t="s">
        <v>117</v>
      </c>
      <c r="J58" s="22">
        <v>2</v>
      </c>
      <c r="K58" s="22">
        <v>2</v>
      </c>
      <c r="L58" s="22" t="s">
        <v>117</v>
      </c>
      <c r="M58" s="22" t="s">
        <v>114</v>
      </c>
      <c r="N58" s="38" t="s">
        <v>114</v>
      </c>
      <c r="O58" s="38">
        <v>2</v>
      </c>
      <c r="P58" s="38">
        <v>2</v>
      </c>
      <c r="Q58" s="38">
        <v>2</v>
      </c>
      <c r="R58" s="22">
        <v>2</v>
      </c>
      <c r="S58" s="22">
        <v>1</v>
      </c>
      <c r="T58" s="22">
        <v>2</v>
      </c>
      <c r="U58" s="22">
        <v>2</v>
      </c>
    </row>
    <row r="59" spans="2:21" ht="19.5" customHeight="1" x14ac:dyDescent="0.25">
      <c r="B59" s="2">
        <v>55</v>
      </c>
      <c r="C59" s="3" t="s">
        <v>84</v>
      </c>
      <c r="D59" s="4" t="s">
        <v>85</v>
      </c>
      <c r="E59" s="5" t="s">
        <v>86</v>
      </c>
      <c r="F59" s="26"/>
      <c r="G59" s="21">
        <v>2</v>
      </c>
      <c r="H59" s="22">
        <v>2</v>
      </c>
      <c r="I59" s="22" t="s">
        <v>117</v>
      </c>
      <c r="J59" s="22">
        <v>2</v>
      </c>
      <c r="K59" s="22">
        <v>2</v>
      </c>
      <c r="L59" s="22">
        <v>2</v>
      </c>
      <c r="M59" s="22">
        <v>2</v>
      </c>
      <c r="N59" s="38">
        <v>2</v>
      </c>
      <c r="O59" s="38">
        <v>2</v>
      </c>
      <c r="P59" s="38">
        <v>2</v>
      </c>
      <c r="Q59" s="38">
        <v>2</v>
      </c>
      <c r="R59" s="22">
        <v>2</v>
      </c>
      <c r="S59" s="22">
        <v>2</v>
      </c>
      <c r="T59" s="22">
        <v>2</v>
      </c>
      <c r="U59" s="22">
        <v>2</v>
      </c>
    </row>
    <row r="60" spans="2:21" ht="19.5" customHeight="1" x14ac:dyDescent="0.25">
      <c r="B60" s="7">
        <v>56</v>
      </c>
      <c r="C60" s="6" t="s">
        <v>84</v>
      </c>
      <c r="D60" s="8" t="s">
        <v>85</v>
      </c>
      <c r="E60" s="9" t="s">
        <v>87</v>
      </c>
      <c r="F60" s="26"/>
      <c r="G60" s="22">
        <v>2</v>
      </c>
      <c r="H60" s="22">
        <v>2</v>
      </c>
      <c r="I60" s="22">
        <v>2</v>
      </c>
      <c r="J60" s="22" t="s">
        <v>117</v>
      </c>
      <c r="K60" s="22">
        <v>2</v>
      </c>
      <c r="L60" s="22">
        <v>2</v>
      </c>
      <c r="M60" s="22">
        <v>2</v>
      </c>
      <c r="N60" s="38">
        <v>2</v>
      </c>
      <c r="O60" s="38">
        <v>2</v>
      </c>
      <c r="P60" s="38">
        <v>2</v>
      </c>
      <c r="Q60" s="38">
        <v>2</v>
      </c>
      <c r="R60" s="22">
        <v>2</v>
      </c>
      <c r="S60" s="22">
        <v>2</v>
      </c>
      <c r="T60" s="22">
        <v>2</v>
      </c>
      <c r="U60" s="22">
        <v>2</v>
      </c>
    </row>
    <row r="61" spans="2:21" ht="19.5" customHeight="1" x14ac:dyDescent="0.25">
      <c r="B61" s="2">
        <v>57</v>
      </c>
      <c r="C61" s="10" t="s">
        <v>84</v>
      </c>
      <c r="D61" s="4" t="s">
        <v>64</v>
      </c>
      <c r="E61" s="5" t="s">
        <v>88</v>
      </c>
      <c r="F61" s="26"/>
      <c r="G61" s="21">
        <v>2</v>
      </c>
      <c r="H61" s="22" t="s">
        <v>114</v>
      </c>
      <c r="I61" s="22">
        <v>2</v>
      </c>
      <c r="J61" s="22">
        <v>2</v>
      </c>
      <c r="K61" s="22" t="s">
        <v>114</v>
      </c>
      <c r="L61" s="22">
        <v>2</v>
      </c>
      <c r="M61" s="22">
        <v>2</v>
      </c>
      <c r="N61" s="38">
        <v>2</v>
      </c>
      <c r="O61" s="38">
        <v>2</v>
      </c>
      <c r="P61" s="38">
        <v>2</v>
      </c>
      <c r="Q61" s="38">
        <v>2</v>
      </c>
      <c r="R61" s="22" t="s">
        <v>117</v>
      </c>
      <c r="S61" s="22">
        <v>2</v>
      </c>
      <c r="T61" s="22" t="s">
        <v>114</v>
      </c>
      <c r="U61" s="22">
        <v>2</v>
      </c>
    </row>
    <row r="62" spans="2:21" ht="19.5" customHeight="1" x14ac:dyDescent="0.25">
      <c r="B62" s="7">
        <v>58</v>
      </c>
      <c r="C62" s="6" t="s">
        <v>84</v>
      </c>
      <c r="D62" s="8" t="s">
        <v>80</v>
      </c>
      <c r="E62" s="9" t="s">
        <v>89</v>
      </c>
      <c r="F62" s="26"/>
      <c r="G62" s="22">
        <v>1</v>
      </c>
      <c r="H62" s="22" t="s">
        <v>114</v>
      </c>
      <c r="I62" s="22">
        <v>1</v>
      </c>
      <c r="J62" s="22">
        <v>1</v>
      </c>
      <c r="K62" s="22">
        <v>1</v>
      </c>
      <c r="L62" s="22">
        <v>2</v>
      </c>
      <c r="M62" s="22">
        <v>1</v>
      </c>
      <c r="N62" s="38">
        <v>1</v>
      </c>
      <c r="O62" s="38">
        <v>1</v>
      </c>
      <c r="P62" s="38">
        <v>1</v>
      </c>
      <c r="Q62" s="38">
        <v>1</v>
      </c>
      <c r="R62" s="22">
        <v>1</v>
      </c>
      <c r="S62" s="22">
        <v>2</v>
      </c>
      <c r="T62" s="22">
        <v>1</v>
      </c>
      <c r="U62" s="22">
        <v>1</v>
      </c>
    </row>
    <row r="63" spans="2:21" ht="19.5" customHeight="1" x14ac:dyDescent="0.25">
      <c r="B63" s="2">
        <v>59</v>
      </c>
      <c r="C63" s="10" t="s">
        <v>84</v>
      </c>
      <c r="D63" s="4" t="s">
        <v>90</v>
      </c>
      <c r="E63" s="5" t="s">
        <v>91</v>
      </c>
      <c r="F63" s="26"/>
      <c r="G63" s="22" t="s">
        <v>117</v>
      </c>
      <c r="H63" s="22">
        <v>1</v>
      </c>
      <c r="I63" s="22">
        <v>1</v>
      </c>
      <c r="J63" s="22" t="s">
        <v>117</v>
      </c>
      <c r="K63" s="22" t="s">
        <v>114</v>
      </c>
      <c r="L63" s="22">
        <v>1</v>
      </c>
      <c r="M63" s="22" t="s">
        <v>114</v>
      </c>
      <c r="N63" s="38" t="s">
        <v>114</v>
      </c>
      <c r="O63" s="38">
        <v>2</v>
      </c>
      <c r="P63" s="38">
        <v>1</v>
      </c>
      <c r="Q63" s="38" t="s">
        <v>117</v>
      </c>
      <c r="R63" s="22">
        <v>1</v>
      </c>
      <c r="S63" s="22">
        <v>1</v>
      </c>
      <c r="T63" s="22">
        <v>1</v>
      </c>
      <c r="U63" s="22">
        <v>1</v>
      </c>
    </row>
    <row r="64" spans="2:21" ht="19.5" customHeight="1" x14ac:dyDescent="0.25">
      <c r="B64" s="7">
        <v>60</v>
      </c>
      <c r="C64" s="6" t="s">
        <v>84</v>
      </c>
      <c r="D64" s="8" t="s">
        <v>90</v>
      </c>
      <c r="E64" s="9" t="s">
        <v>92</v>
      </c>
      <c r="F64" s="26"/>
      <c r="G64" s="21">
        <v>1</v>
      </c>
      <c r="H64" s="22">
        <v>1</v>
      </c>
      <c r="I64" s="22">
        <v>1</v>
      </c>
      <c r="J64" s="22">
        <v>1</v>
      </c>
      <c r="K64" s="22">
        <v>1</v>
      </c>
      <c r="L64" s="22">
        <v>1</v>
      </c>
      <c r="M64" s="22">
        <v>1</v>
      </c>
      <c r="N64" s="38">
        <v>1</v>
      </c>
      <c r="O64" s="38">
        <v>1</v>
      </c>
      <c r="P64" s="38">
        <v>1</v>
      </c>
      <c r="Q64" s="38">
        <v>1</v>
      </c>
      <c r="R64" s="22">
        <v>1</v>
      </c>
      <c r="S64" s="22">
        <v>1</v>
      </c>
      <c r="T64" s="22">
        <v>1</v>
      </c>
      <c r="U64" s="22">
        <v>1</v>
      </c>
    </row>
    <row r="65" spans="2:21" ht="19.5" customHeight="1" x14ac:dyDescent="0.25">
      <c r="B65" s="2">
        <v>61</v>
      </c>
      <c r="C65" s="3" t="s">
        <v>93</v>
      </c>
      <c r="D65" s="4" t="s">
        <v>85</v>
      </c>
      <c r="E65" s="5" t="s">
        <v>94</v>
      </c>
      <c r="F65" s="26"/>
      <c r="G65" s="21">
        <v>1</v>
      </c>
      <c r="H65" s="22">
        <v>1</v>
      </c>
      <c r="I65" s="22" t="s">
        <v>117</v>
      </c>
      <c r="J65" s="22">
        <v>1</v>
      </c>
      <c r="K65" s="22">
        <v>1</v>
      </c>
      <c r="L65" s="22">
        <v>1</v>
      </c>
      <c r="M65" s="22">
        <v>1</v>
      </c>
      <c r="N65" s="38">
        <v>1</v>
      </c>
      <c r="O65" s="38">
        <v>1</v>
      </c>
      <c r="P65" s="38">
        <v>1</v>
      </c>
      <c r="Q65" s="38">
        <v>1</v>
      </c>
      <c r="R65" s="22">
        <v>1</v>
      </c>
      <c r="S65" s="22">
        <v>1</v>
      </c>
      <c r="T65" s="22">
        <v>1</v>
      </c>
      <c r="U65" s="22">
        <v>1</v>
      </c>
    </row>
    <row r="66" spans="2:21" ht="19.5" customHeight="1" x14ac:dyDescent="0.25">
      <c r="B66" s="7">
        <v>62</v>
      </c>
      <c r="C66" s="6" t="s">
        <v>93</v>
      </c>
      <c r="D66" s="8" t="s">
        <v>85</v>
      </c>
      <c r="E66" s="9" t="s">
        <v>95</v>
      </c>
      <c r="F66" s="26"/>
      <c r="G66" s="22">
        <v>2</v>
      </c>
      <c r="H66" s="22">
        <v>2</v>
      </c>
      <c r="I66" s="22" t="s">
        <v>117</v>
      </c>
      <c r="J66" s="22">
        <v>2</v>
      </c>
      <c r="K66" s="22">
        <v>2</v>
      </c>
      <c r="L66" s="22">
        <v>2</v>
      </c>
      <c r="M66" s="22">
        <v>2</v>
      </c>
      <c r="N66" s="38">
        <v>2</v>
      </c>
      <c r="O66" s="38">
        <v>2</v>
      </c>
      <c r="P66" s="38">
        <v>2</v>
      </c>
      <c r="Q66" s="38">
        <v>2</v>
      </c>
      <c r="R66" s="22">
        <v>2</v>
      </c>
      <c r="S66" s="22">
        <v>2</v>
      </c>
      <c r="T66" s="22">
        <v>2</v>
      </c>
      <c r="U66" s="22">
        <v>2</v>
      </c>
    </row>
    <row r="67" spans="2:21" ht="19.5" customHeight="1" x14ac:dyDescent="0.25">
      <c r="B67" s="2">
        <v>63</v>
      </c>
      <c r="C67" s="10" t="s">
        <v>93</v>
      </c>
      <c r="D67" s="4" t="s">
        <v>80</v>
      </c>
      <c r="E67" s="5" t="s">
        <v>96</v>
      </c>
      <c r="F67" s="26"/>
      <c r="G67" s="21">
        <v>1</v>
      </c>
      <c r="H67" s="22">
        <v>1</v>
      </c>
      <c r="I67" s="22">
        <v>1</v>
      </c>
      <c r="J67" s="22">
        <v>1</v>
      </c>
      <c r="K67" s="22">
        <v>1</v>
      </c>
      <c r="L67" s="22">
        <v>1</v>
      </c>
      <c r="M67" s="22">
        <v>1</v>
      </c>
      <c r="N67" s="38">
        <v>1</v>
      </c>
      <c r="O67" s="38">
        <v>1</v>
      </c>
      <c r="P67" s="38">
        <v>1</v>
      </c>
      <c r="Q67" s="38">
        <v>1</v>
      </c>
      <c r="R67" s="22">
        <v>1</v>
      </c>
      <c r="S67" s="22">
        <v>1</v>
      </c>
      <c r="T67" s="22">
        <v>1</v>
      </c>
      <c r="U67" s="22">
        <v>1</v>
      </c>
    </row>
    <row r="68" spans="2:21" ht="19.5" customHeight="1" x14ac:dyDescent="0.25">
      <c r="B68" s="7">
        <v>64</v>
      </c>
      <c r="C68" s="6" t="s">
        <v>93</v>
      </c>
      <c r="D68" s="8" t="s">
        <v>80</v>
      </c>
      <c r="E68" s="9" t="s">
        <v>97</v>
      </c>
      <c r="F68" s="26"/>
      <c r="G68" s="21">
        <v>1</v>
      </c>
      <c r="H68" s="22">
        <v>1</v>
      </c>
      <c r="I68" s="22" t="s">
        <v>117</v>
      </c>
      <c r="J68" s="22" t="s">
        <v>117</v>
      </c>
      <c r="K68" s="22">
        <v>1</v>
      </c>
      <c r="L68" s="22" t="s">
        <v>117</v>
      </c>
      <c r="M68" s="22">
        <v>1</v>
      </c>
      <c r="N68" s="38">
        <v>1</v>
      </c>
      <c r="O68" s="38">
        <v>1</v>
      </c>
      <c r="P68" s="38">
        <v>1</v>
      </c>
      <c r="Q68" s="38">
        <v>1</v>
      </c>
      <c r="R68" s="22">
        <v>2</v>
      </c>
      <c r="S68" s="22">
        <v>1</v>
      </c>
      <c r="T68" s="22">
        <v>1</v>
      </c>
      <c r="U68" s="22">
        <v>1</v>
      </c>
    </row>
    <row r="69" spans="2:21" ht="19.5" customHeight="1" x14ac:dyDescent="0.25">
      <c r="B69" s="2">
        <v>65</v>
      </c>
      <c r="C69" s="10" t="s">
        <v>93</v>
      </c>
      <c r="D69" s="4" t="s">
        <v>66</v>
      </c>
      <c r="E69" s="5" t="s">
        <v>98</v>
      </c>
      <c r="F69" s="26"/>
      <c r="G69" s="22" t="s">
        <v>117</v>
      </c>
      <c r="H69" s="22" t="s">
        <v>114</v>
      </c>
      <c r="I69" s="22">
        <v>1</v>
      </c>
      <c r="J69" s="22">
        <v>1</v>
      </c>
      <c r="K69" s="22">
        <v>1</v>
      </c>
      <c r="L69" s="22">
        <v>2</v>
      </c>
      <c r="M69" s="22" t="s">
        <v>114</v>
      </c>
      <c r="N69" s="38">
        <v>1</v>
      </c>
      <c r="O69" s="38">
        <v>1</v>
      </c>
      <c r="P69" s="38">
        <v>2</v>
      </c>
      <c r="Q69" s="38">
        <v>2</v>
      </c>
      <c r="R69" s="22" t="s">
        <v>117</v>
      </c>
      <c r="S69" s="22">
        <v>2</v>
      </c>
      <c r="T69" s="22" t="s">
        <v>114</v>
      </c>
      <c r="U69" s="22">
        <v>2</v>
      </c>
    </row>
    <row r="70" spans="2:21" ht="19.5" customHeight="1" x14ac:dyDescent="0.25">
      <c r="B70" s="7">
        <v>66</v>
      </c>
      <c r="C70" s="6" t="s">
        <v>93</v>
      </c>
      <c r="D70" s="8" t="s">
        <v>66</v>
      </c>
      <c r="E70" s="9" t="s">
        <v>99</v>
      </c>
      <c r="F70" s="26"/>
      <c r="G70" s="21">
        <v>1</v>
      </c>
      <c r="H70" s="22" t="s">
        <v>114</v>
      </c>
      <c r="I70" s="22">
        <v>1</v>
      </c>
      <c r="J70" s="22">
        <v>2</v>
      </c>
      <c r="K70" s="22" t="s">
        <v>114</v>
      </c>
      <c r="L70" s="22">
        <v>2</v>
      </c>
      <c r="M70" s="22">
        <v>2</v>
      </c>
      <c r="N70" s="38" t="s">
        <v>114</v>
      </c>
      <c r="O70" s="38">
        <v>1</v>
      </c>
      <c r="P70" s="38">
        <v>2</v>
      </c>
      <c r="Q70" s="38">
        <v>1</v>
      </c>
      <c r="R70" s="22" t="s">
        <v>117</v>
      </c>
      <c r="S70" s="22" t="s">
        <v>114</v>
      </c>
      <c r="T70" s="22" t="s">
        <v>114</v>
      </c>
      <c r="U70" s="22">
        <v>1</v>
      </c>
    </row>
    <row r="71" spans="2:21" ht="19.5" customHeight="1" x14ac:dyDescent="0.25">
      <c r="B71" s="2">
        <v>67</v>
      </c>
      <c r="C71" s="3" t="s">
        <v>100</v>
      </c>
      <c r="D71" s="4" t="s">
        <v>85</v>
      </c>
      <c r="E71" s="5" t="s">
        <v>101</v>
      </c>
      <c r="F71" s="26"/>
      <c r="G71" s="22" t="s">
        <v>117</v>
      </c>
      <c r="H71" s="22">
        <v>2</v>
      </c>
      <c r="I71" s="22" t="s">
        <v>117</v>
      </c>
      <c r="J71" s="22">
        <v>2</v>
      </c>
      <c r="K71" s="22">
        <v>1</v>
      </c>
      <c r="L71" s="22">
        <v>2</v>
      </c>
      <c r="M71" s="22">
        <v>1</v>
      </c>
      <c r="N71" s="38">
        <v>1</v>
      </c>
      <c r="O71" s="38">
        <v>1</v>
      </c>
      <c r="P71" s="38" t="s">
        <v>117</v>
      </c>
      <c r="Q71" s="38">
        <v>1</v>
      </c>
      <c r="R71" s="22">
        <v>1</v>
      </c>
      <c r="S71" s="22">
        <v>1</v>
      </c>
      <c r="T71" s="22" t="s">
        <v>114</v>
      </c>
      <c r="U71" s="22">
        <v>1</v>
      </c>
    </row>
    <row r="72" spans="2:21" ht="19.5" customHeight="1" x14ac:dyDescent="0.25">
      <c r="B72" s="7">
        <v>68</v>
      </c>
      <c r="C72" s="6" t="s">
        <v>100</v>
      </c>
      <c r="D72" s="8" t="s">
        <v>85</v>
      </c>
      <c r="E72" s="9" t="s">
        <v>102</v>
      </c>
      <c r="F72" s="26"/>
      <c r="G72" s="22">
        <v>1</v>
      </c>
      <c r="H72" s="22">
        <v>2</v>
      </c>
      <c r="I72" s="22">
        <v>1</v>
      </c>
      <c r="J72" s="22" t="s">
        <v>117</v>
      </c>
      <c r="K72" s="22">
        <v>1</v>
      </c>
      <c r="L72" s="22">
        <v>2</v>
      </c>
      <c r="M72" s="22" t="s">
        <v>114</v>
      </c>
      <c r="N72" s="38">
        <v>2</v>
      </c>
      <c r="O72" s="38">
        <v>1</v>
      </c>
      <c r="P72" s="38">
        <v>1</v>
      </c>
      <c r="Q72" s="38">
        <v>1</v>
      </c>
      <c r="R72" s="22">
        <v>1</v>
      </c>
      <c r="S72" s="22">
        <v>2</v>
      </c>
      <c r="T72" s="22" t="s">
        <v>114</v>
      </c>
      <c r="U72" s="22">
        <v>1</v>
      </c>
    </row>
    <row r="73" spans="2:21" ht="19.5" customHeight="1" x14ac:dyDescent="0.25">
      <c r="B73" s="2">
        <v>69</v>
      </c>
      <c r="C73" s="10" t="s">
        <v>100</v>
      </c>
      <c r="D73" s="4" t="s">
        <v>80</v>
      </c>
      <c r="E73" s="5" t="s">
        <v>103</v>
      </c>
      <c r="F73" s="26"/>
      <c r="G73" s="21">
        <v>1</v>
      </c>
      <c r="H73" s="22">
        <v>1</v>
      </c>
      <c r="I73" s="22" t="s">
        <v>117</v>
      </c>
      <c r="J73" s="22">
        <v>1</v>
      </c>
      <c r="K73" s="22">
        <v>1</v>
      </c>
      <c r="L73" s="22">
        <v>1</v>
      </c>
      <c r="M73" s="22">
        <v>1</v>
      </c>
      <c r="N73" s="38">
        <v>1</v>
      </c>
      <c r="O73" s="38">
        <v>1</v>
      </c>
      <c r="P73" s="38">
        <v>1</v>
      </c>
      <c r="Q73" s="38">
        <v>1</v>
      </c>
      <c r="R73" s="22">
        <v>1</v>
      </c>
      <c r="S73" s="22">
        <v>1</v>
      </c>
      <c r="T73" s="22">
        <v>1</v>
      </c>
      <c r="U73" s="22">
        <v>1</v>
      </c>
    </row>
    <row r="74" spans="2:21" ht="19.5" customHeight="1" x14ac:dyDescent="0.25">
      <c r="B74" s="7">
        <v>70</v>
      </c>
      <c r="C74" s="6" t="s">
        <v>100</v>
      </c>
      <c r="D74" s="8" t="s">
        <v>80</v>
      </c>
      <c r="E74" s="9" t="s">
        <v>104</v>
      </c>
      <c r="F74" s="26"/>
      <c r="G74" s="21">
        <v>1</v>
      </c>
      <c r="H74" s="22">
        <v>1</v>
      </c>
      <c r="I74" s="22" t="s">
        <v>117</v>
      </c>
      <c r="J74" s="22">
        <v>1</v>
      </c>
      <c r="K74" s="22">
        <v>1</v>
      </c>
      <c r="L74" s="22">
        <v>1</v>
      </c>
      <c r="M74" s="22">
        <v>1</v>
      </c>
      <c r="N74" s="38" t="s">
        <v>114</v>
      </c>
      <c r="O74" s="38">
        <v>1</v>
      </c>
      <c r="P74" s="38">
        <v>1</v>
      </c>
      <c r="Q74" s="38">
        <v>1</v>
      </c>
      <c r="R74" s="22">
        <v>1</v>
      </c>
      <c r="S74" s="22">
        <v>1</v>
      </c>
      <c r="T74" s="22">
        <v>1</v>
      </c>
      <c r="U74" s="22">
        <v>1</v>
      </c>
    </row>
    <row r="75" spans="2:21" ht="19.5" customHeight="1" x14ac:dyDescent="0.25">
      <c r="B75" s="2">
        <v>71</v>
      </c>
      <c r="C75" s="10" t="s">
        <v>100</v>
      </c>
      <c r="D75" s="4" t="s">
        <v>66</v>
      </c>
      <c r="E75" s="5" t="s">
        <v>105</v>
      </c>
      <c r="F75" s="26"/>
      <c r="G75" s="22">
        <v>1</v>
      </c>
      <c r="H75" s="22" t="s">
        <v>114</v>
      </c>
      <c r="I75" s="22">
        <v>1</v>
      </c>
      <c r="J75" s="22">
        <v>2</v>
      </c>
      <c r="K75" s="22">
        <v>1</v>
      </c>
      <c r="L75" s="22">
        <v>1</v>
      </c>
      <c r="M75" s="22">
        <v>1</v>
      </c>
      <c r="N75" s="38">
        <v>1</v>
      </c>
      <c r="O75" s="38">
        <v>1</v>
      </c>
      <c r="P75" s="38">
        <v>1</v>
      </c>
      <c r="Q75" s="38">
        <v>1</v>
      </c>
      <c r="R75" s="22">
        <v>1</v>
      </c>
      <c r="S75" s="22">
        <v>1</v>
      </c>
      <c r="T75" s="22" t="s">
        <v>114</v>
      </c>
      <c r="U75" s="22">
        <v>1</v>
      </c>
    </row>
    <row r="76" spans="2:21" ht="19.5" customHeight="1" x14ac:dyDescent="0.25">
      <c r="B76" s="7">
        <v>72</v>
      </c>
      <c r="C76" s="6" t="s">
        <v>100</v>
      </c>
      <c r="D76" s="8" t="s">
        <v>66</v>
      </c>
      <c r="E76" s="9" t="s">
        <v>106</v>
      </c>
      <c r="F76" s="26"/>
      <c r="G76" s="22" t="s">
        <v>117</v>
      </c>
      <c r="H76" s="22" t="s">
        <v>114</v>
      </c>
      <c r="I76" s="22">
        <v>2</v>
      </c>
      <c r="J76" s="22" t="s">
        <v>117</v>
      </c>
      <c r="K76" s="22" t="s">
        <v>114</v>
      </c>
      <c r="L76" s="22">
        <v>1</v>
      </c>
      <c r="M76" s="22">
        <v>1</v>
      </c>
      <c r="N76" s="38">
        <v>1</v>
      </c>
      <c r="O76" s="38">
        <v>1</v>
      </c>
      <c r="P76" s="38">
        <v>1</v>
      </c>
      <c r="Q76" s="38" t="s">
        <v>117</v>
      </c>
      <c r="R76" s="22" t="s">
        <v>117</v>
      </c>
      <c r="S76" s="22">
        <v>1</v>
      </c>
      <c r="T76" s="22" t="s">
        <v>114</v>
      </c>
      <c r="U76" s="22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9A825"/>
  </sheetPr>
  <dimension ref="B2:F21"/>
  <sheetViews>
    <sheetView showGridLines="0" tabSelected="1" zoomScaleNormal="100" workbookViewId="0">
      <selection activeCell="O8" sqref="O8"/>
    </sheetView>
  </sheetViews>
  <sheetFormatPr defaultColWidth="8.7109375" defaultRowHeight="15" x14ac:dyDescent="0.25"/>
  <cols>
    <col min="1" max="1" width="3.28515625" customWidth="1"/>
    <col min="2" max="2" width="8" customWidth="1"/>
    <col min="3" max="3" width="24" customWidth="1"/>
    <col min="4" max="4" width="16" customWidth="1"/>
    <col min="5" max="5" width="14" customWidth="1"/>
    <col min="6" max="6" width="16" customWidth="1"/>
  </cols>
  <sheetData>
    <row r="2" spans="2:6" ht="37.5" customHeight="1" x14ac:dyDescent="0.25">
      <c r="B2" s="28" t="s">
        <v>116</v>
      </c>
      <c r="C2" s="28"/>
      <c r="D2" s="28"/>
      <c r="E2" s="28"/>
      <c r="F2" s="28"/>
    </row>
    <row r="3" spans="2:6" ht="21.75" customHeight="1" x14ac:dyDescent="0.25">
      <c r="B3" s="29" t="s">
        <v>107</v>
      </c>
      <c r="C3" s="29"/>
      <c r="D3" s="29"/>
      <c r="E3" s="29"/>
      <c r="F3" s="29"/>
    </row>
    <row r="4" spans="2:6" ht="31.5" customHeight="1" x14ac:dyDescent="0.25">
      <c r="B4" s="1" t="s">
        <v>108</v>
      </c>
      <c r="C4" s="1" t="s">
        <v>109</v>
      </c>
      <c r="D4" s="1" t="s">
        <v>110</v>
      </c>
      <c r="E4" s="1" t="s">
        <v>111</v>
      </c>
      <c r="F4" s="1" t="s">
        <v>112</v>
      </c>
    </row>
    <row r="5" spans="2:6" ht="25.5" customHeight="1" x14ac:dyDescent="0.25">
      <c r="B5" s="3">
        <v>1</v>
      </c>
      <c r="C5" s="15" t="str">
        <f>+'Group Stage'!$U$4</f>
        <v>Eduardo Sama</v>
      </c>
      <c r="D5" s="16" cm="1">
        <f t="array" ref="D5">SUMPRODUCT(('Group Stage'!F5:F76&lt;&gt;"")*('Group Stage'!U5:U76&lt;&gt;"")*('Group Stage'!F5:F76='Group Stage'!U5:U76))*10</f>
        <v>10</v>
      </c>
      <c r="E5" s="13">
        <f>D5/(COUNT('Group Stage'!$F$5:$F$76)*10)</f>
        <v>1</v>
      </c>
      <c r="F5" s="17">
        <f t="shared" ref="F5:F19" si="0">IFERROR(D5/10,0)</f>
        <v>1</v>
      </c>
    </row>
    <row r="6" spans="2:6" ht="25.5" customHeight="1" x14ac:dyDescent="0.25">
      <c r="B6" s="3">
        <v>2</v>
      </c>
      <c r="C6" s="11" t="str">
        <f>'Group Stage'!$G$4</f>
        <v xml:space="preserve">Enrique </v>
      </c>
      <c r="D6" s="12">
        <f>SUMPRODUCT(('Group Stage'!F5:F76&lt;&gt;"")*('Group Stage'!G5:G76&lt;&gt;"")*('Group Stage'!F5:F76='Group Stage'!G5:G76))*10</f>
        <v>10</v>
      </c>
      <c r="E6" s="13">
        <f>D6/(COUNT('Group Stage'!$F$5:$F$76)*10)</f>
        <v>1</v>
      </c>
      <c r="F6" s="14">
        <f t="shared" si="0"/>
        <v>1</v>
      </c>
    </row>
    <row r="7" spans="2:6" ht="25.5" customHeight="1" x14ac:dyDescent="0.25">
      <c r="B7" s="3">
        <v>3</v>
      </c>
      <c r="C7" s="11" t="str">
        <f>'Group Stage'!$K$4</f>
        <v>Karla Alonzo</v>
      </c>
      <c r="D7" s="12">
        <f>SUMPRODUCT(('Group Stage'!F5:F76&lt;&gt;"")*('Group Stage'!K5:K76&lt;&gt;"")*('Group Stage'!F5:F76='Group Stage'!K5:K76))*10</f>
        <v>10</v>
      </c>
      <c r="E7" s="13">
        <f>D7/(COUNT('Group Stage'!$F$5:$F$76)*10)</f>
        <v>1</v>
      </c>
      <c r="F7" s="14">
        <f t="shared" si="0"/>
        <v>1</v>
      </c>
    </row>
    <row r="8" spans="2:6" ht="25.5" customHeight="1" x14ac:dyDescent="0.25">
      <c r="B8" s="3">
        <v>4</v>
      </c>
      <c r="C8" s="15" t="str">
        <f>'Group Stage'!$L$4</f>
        <v>Milena</v>
      </c>
      <c r="D8" s="16">
        <f>SUMPRODUCT(('Group Stage'!F5:F76&lt;&gt;"")*('Group Stage'!L5:L76&lt;&gt;"")*('Group Stage'!F5:F76='Group Stage'!L5:L76))*10</f>
        <v>10</v>
      </c>
      <c r="E8" s="13">
        <f>D8/(COUNT('Group Stage'!$F$5:$F$76)*10)</f>
        <v>1</v>
      </c>
      <c r="F8" s="17">
        <f t="shared" si="0"/>
        <v>1</v>
      </c>
    </row>
    <row r="9" spans="2:6" ht="25.5" customHeight="1" x14ac:dyDescent="0.25">
      <c r="B9" s="3">
        <v>5</v>
      </c>
      <c r="C9" s="11" t="str">
        <f>'Group Stage'!$M$4</f>
        <v>Eduardo MP</v>
      </c>
      <c r="D9" s="12">
        <f>SUMPRODUCT(('Group Stage'!F5:F76&lt;&gt;"")*('Group Stage'!M5:M76&lt;&gt;"")*('Group Stage'!F5:F76='Group Stage'!M5:M76))*10</f>
        <v>10</v>
      </c>
      <c r="E9" s="13">
        <f>D9/(COUNT('Group Stage'!$F$5:$F$76)*10)</f>
        <v>1</v>
      </c>
      <c r="F9" s="14">
        <f t="shared" si="0"/>
        <v>1</v>
      </c>
    </row>
    <row r="10" spans="2:6" ht="25.5" customHeight="1" x14ac:dyDescent="0.25">
      <c r="B10" s="3">
        <v>6</v>
      </c>
      <c r="C10" s="15" t="str">
        <f>'Group Stage'!$N$4</f>
        <v>Miranda</v>
      </c>
      <c r="D10" s="16">
        <f>SUMPRODUCT(('Group Stage'!F5:F76&lt;&gt;"")*('Group Stage'!N5:N76&lt;&gt;"")*('Group Stage'!F5:F76='Group Stage'!N5:N76))*10</f>
        <v>10</v>
      </c>
      <c r="E10" s="13">
        <f>D10/(COUNT('Group Stage'!$F$5:$F$76)*10)</f>
        <v>1</v>
      </c>
      <c r="F10" s="17">
        <f t="shared" si="0"/>
        <v>1</v>
      </c>
    </row>
    <row r="11" spans="2:6" ht="25.5" customHeight="1" x14ac:dyDescent="0.25">
      <c r="B11" s="3">
        <v>7</v>
      </c>
      <c r="C11" s="11" t="str">
        <f>'Group Stage'!$O$4</f>
        <v>Juan Corredor</v>
      </c>
      <c r="D11" s="12">
        <f>SUMPRODUCT(('Group Stage'!F5:F76&lt;&gt;"")*('Group Stage'!O5:O76&lt;&gt;"")*('Group Stage'!F5:F76='Group Stage'!O5:O76))*10</f>
        <v>10</v>
      </c>
      <c r="E11" s="13">
        <f>D11/(COUNT('Group Stage'!$F$5:$F$76)*10)</f>
        <v>1</v>
      </c>
      <c r="F11" s="14">
        <f t="shared" si="0"/>
        <v>1</v>
      </c>
    </row>
    <row r="12" spans="2:6" ht="25.5" customHeight="1" x14ac:dyDescent="0.25">
      <c r="B12" s="3">
        <v>8</v>
      </c>
      <c r="C12" s="15" t="str">
        <f>'Group Stage'!$P$4</f>
        <v>Eddie y Liza</v>
      </c>
      <c r="D12" s="16">
        <f>SUMPRODUCT(('Group Stage'!F5:F76&lt;&gt;"")*('Group Stage'!P5:P76&lt;&gt;"")*('Group Stage'!F5:F76='Group Stage'!P5:P76))*10</f>
        <v>10</v>
      </c>
      <c r="E12" s="13">
        <f>D12/(COUNT('Group Stage'!$F$5:$F$76)*10)</f>
        <v>1</v>
      </c>
      <c r="F12" s="17">
        <f t="shared" si="0"/>
        <v>1</v>
      </c>
    </row>
    <row r="13" spans="2:6" ht="25.5" customHeight="1" x14ac:dyDescent="0.25">
      <c r="B13" s="3">
        <v>9</v>
      </c>
      <c r="C13" s="11" t="str">
        <f>'Group Stage'!$Q$4</f>
        <v>AX ML</v>
      </c>
      <c r="D13" s="12" cm="1">
        <f t="array" ref="D13">SUMPRODUCT(('Group Stage'!F5:F76&lt;&gt;"")*('Group Stage'!Q5:Q76&lt;&gt;"")*('Group Stage'!F5:F76='Group Stage'!Q5:Q76))*10</f>
        <v>10</v>
      </c>
      <c r="E13" s="13">
        <f>D13/(COUNT('Group Stage'!$F$5:$F$76)*10)</f>
        <v>1</v>
      </c>
      <c r="F13" s="14">
        <f t="shared" si="0"/>
        <v>1</v>
      </c>
    </row>
    <row r="14" spans="2:6" ht="25.5" customHeight="1" x14ac:dyDescent="0.25">
      <c r="B14" s="3">
        <v>10</v>
      </c>
      <c r="C14" s="15" t="str">
        <f>'Group Stage'!$R$4</f>
        <v>Ricardo JR</v>
      </c>
      <c r="D14" s="16" cm="1">
        <f t="array" ref="D14">SUMPRODUCT(('Group Stage'!F5:F76&lt;&gt;"")*('Group Stage'!R5:R76&lt;&gt;"")*('Group Stage'!F5:F76='Group Stage'!R5:R76))*10</f>
        <v>10</v>
      </c>
      <c r="E14" s="13">
        <f>D14/(COUNT('Group Stage'!$F$5:$F$76)*10)</f>
        <v>1</v>
      </c>
      <c r="F14" s="17">
        <f t="shared" si="0"/>
        <v>1</v>
      </c>
    </row>
    <row r="15" spans="2:6" ht="25.5" customHeight="1" x14ac:dyDescent="0.25">
      <c r="B15" s="3">
        <v>11</v>
      </c>
      <c r="C15" s="11" t="str">
        <f>'Group Stage'!$S$4</f>
        <v>Carito</v>
      </c>
      <c r="D15" s="12" cm="1">
        <f t="array" ref="D15">SUMPRODUCT(('Group Stage'!F5:F76&lt;&gt;"")*('Group Stage'!S5:S76&lt;&gt;"")*('Group Stage'!F5:F76='Group Stage'!S5:S76))*10</f>
        <v>10</v>
      </c>
      <c r="E15" s="13">
        <f>D15/(COUNT('Group Stage'!$F$5:$F$76)*10)</f>
        <v>1</v>
      </c>
      <c r="F15" s="14">
        <f t="shared" si="0"/>
        <v>1</v>
      </c>
    </row>
    <row r="16" spans="2:6" ht="25.5" customHeight="1" x14ac:dyDescent="0.25">
      <c r="B16" s="3">
        <v>12</v>
      </c>
      <c r="C16" s="15" t="str">
        <f>'Group Stage'!$T$4</f>
        <v>Peyito</v>
      </c>
      <c r="D16" s="16" cm="1">
        <f t="array" ref="D16">SUMPRODUCT(('Group Stage'!F5:F76&lt;&gt;"")*('Group Stage'!T5:T76&lt;&gt;"")*('Group Stage'!F5:F76='Group Stage'!T5:T76))*10</f>
        <v>10</v>
      </c>
      <c r="E16" s="13">
        <f>D16/(COUNT('Group Stage'!$F$5:$F$76)*10)</f>
        <v>1</v>
      </c>
      <c r="F16" s="17">
        <f t="shared" si="0"/>
        <v>1</v>
      </c>
    </row>
    <row r="17" spans="2:6" ht="25.5" customHeight="1" x14ac:dyDescent="0.25">
      <c r="B17" s="3">
        <v>13</v>
      </c>
      <c r="C17" s="15" t="str">
        <f>'Group Stage'!$H$4</f>
        <v>Raul MP</v>
      </c>
      <c r="D17" s="16">
        <f>SUMPRODUCT(('Group Stage'!F5:F76&lt;&gt;"")*('Group Stage'!H5:H76&lt;&gt;"")*('Group Stage'!F5:F76='Group Stage'!H5:H76))*10</f>
        <v>0</v>
      </c>
      <c r="E17" s="13">
        <f>D17/(COUNT('Group Stage'!$F$5:$F$76)*10)</f>
        <v>0</v>
      </c>
      <c r="F17" s="17">
        <f t="shared" si="0"/>
        <v>0</v>
      </c>
    </row>
    <row r="18" spans="2:6" ht="25.5" customHeight="1" x14ac:dyDescent="0.25">
      <c r="B18" s="3">
        <v>14</v>
      </c>
      <c r="C18" s="11" t="str">
        <f>'Group Stage'!$I$4</f>
        <v>Fernando MP</v>
      </c>
      <c r="D18" s="12">
        <f>SUMPRODUCT(('Group Stage'!F5:F76&lt;&gt;"")*('Group Stage'!I5:I76&lt;&gt;"")*('Group Stage'!F5:F76='Group Stage'!I5:I76))*10</f>
        <v>0</v>
      </c>
      <c r="E18" s="13">
        <f>D18/(COUNT('Group Stage'!$F$5:$F$76)*10)</f>
        <v>0</v>
      </c>
      <c r="F18" s="14">
        <f t="shared" si="0"/>
        <v>0</v>
      </c>
    </row>
    <row r="19" spans="2:6" ht="25.5" customHeight="1" x14ac:dyDescent="0.25">
      <c r="B19" s="43">
        <v>15</v>
      </c>
      <c r="C19" s="44" t="str">
        <f>'Group Stage'!$J$4</f>
        <v>MATTHEW</v>
      </c>
      <c r="D19" s="16">
        <f>SUMPRODUCT(('Group Stage'!F5:F76&lt;&gt;"")*('Group Stage'!J5:J76&lt;&gt;"")*('Group Stage'!F5:F76='Group Stage'!J5:J76))*10</f>
        <v>0</v>
      </c>
      <c r="E19" s="13">
        <f>D19/(COUNT('Group Stage'!$F$5:$F$76)*10)</f>
        <v>0</v>
      </c>
      <c r="F19" s="17">
        <f t="shared" si="0"/>
        <v>0</v>
      </c>
    </row>
    <row r="20" spans="2:6" ht="6" customHeight="1" x14ac:dyDescent="0.25">
      <c r="B20" s="31"/>
      <c r="C20" s="32"/>
      <c r="D20" s="33"/>
      <c r="E20" s="34"/>
      <c r="F20" s="35"/>
    </row>
    <row r="21" spans="2:6" ht="25.5" customHeight="1" x14ac:dyDescent="0.25">
      <c r="B21" s="30"/>
      <c r="C21" s="30" t="s">
        <v>113</v>
      </c>
      <c r="D21" s="18">
        <v>720</v>
      </c>
      <c r="E21" s="19">
        <v>1</v>
      </c>
      <c r="F21" s="20">
        <v>72</v>
      </c>
    </row>
  </sheetData>
  <autoFilter ref="C4:F19" xr:uid="{00000000-0001-0000-0100-000000000000}">
    <sortState xmlns:xlrd2="http://schemas.microsoft.com/office/spreadsheetml/2017/richdata2" ref="C5:F19">
      <sortCondition descending="1" ref="D4:D19"/>
    </sortState>
  </autoFilter>
  <conditionalFormatting sqref="D5:D20">
    <cfRule type="colorScale" priority="2">
      <colorScale>
        <cfvo type="num" val="0"/>
        <cfvo type="num" val="360"/>
        <cfvo type="num" val="720"/>
        <color rgb="FFFFCDD2"/>
        <color rgb="FFFFF9C4"/>
        <color rgb="FFA5D6A7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Stage</vt:lpstr>
      <vt:lpstr>Scoreboard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2026-05-29T00:00:59Z</dcterms:created>
  <dcterms:modified xsi:type="dcterms:W3CDTF">2026-06-11T23:01:11Z</dcterms:modified>
  <dc:language>en-US</dc:language>
</cp:coreProperties>
</file>