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rique\Downloads\"/>
    </mc:Choice>
  </mc:AlternateContent>
  <xr:revisionPtr revIDLastSave="0" documentId="13_ncr:1_{DA74E068-E2B8-46E4-89F7-18C2BF64831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<sst xmlns="http://schemas.openxmlformats.org/spreadsheetml/2006/main" count="132" uniqueCount="70">
  <si>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</si>
  <si>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</si>
  <si>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</si>
  <si>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</si>
  <si>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</si>
  <si>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</si>
  <si>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</si>
  <si>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</si>
  <si>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</si>
  <si>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</si>
  <si>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</si>
  <si>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</si>
  <si>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</si>
  <si>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</si>
  <si>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</si>
  <si>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</si>
  <si>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</si>
  <si>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</si>
  <si>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</si>
  <si>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</si>
  <si>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</si>
  <si>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</si>
  <si>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</si>
  <si>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</si>
  <si>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</si>
  <si>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</si>
  <si>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</si>
  <si>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</si>
  <si>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</si>
  <si>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</si>
  <si>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</si>
  <si>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</si>
  <si>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</si>
  <si>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</si>
  <si>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</si>
  <si>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</si>
  <si>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</si>
  <si>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</si>
  <si>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</si>
  <si>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</si>
  <si>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</si>
  <si>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</si>
  <si>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</si>
  <si>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</si>
  <si>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</si>
  <si>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</si>
  <si>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</si>
  <si>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</si>
  <si>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</si>
  <si>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</si>
  <si>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</si>
  <si>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</si>
  <si>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</si>
  <si>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</si>
  <si>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</si>
  <si>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</si>
  <si>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</si>
  <si>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</si>
  <si>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</si>
  <si>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</si>
  <si>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</si>
  <si>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</si>
  <si>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</si>
  <si>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</si>
  <si>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</si>
  <si>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</si>
  <si>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</si>
  <si>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</si>
  <si>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</si>
  <si>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Milena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</si>
</sst>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22" sqref="L22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AX1" t="str">
        <f>B4</f>
        <v>Alemania</v>
      </c>
      <c r="AY1" t="str">
        <f>B5</f>
        <v>Paraguay</v>
      </c>
    </row>
    <row r="2" spans="2:51" ht="24" customHeight="1" x14ac:dyDescent="0.25">
      <c r="B2" s="20" t="s">
        <v>1</v>
      </c>
      <c r="C2" s="20"/>
      <c r="D2" s="21" t="s">
        <v>69</v>
      </c>
      <c r="E2" s="21"/>
      <c r="F2" s="21"/>
      <c r="G2" s="21"/>
      <c r="H2" s="21"/>
      <c r="J2" s="22" t="s"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12</v>
      </c>
      <c r="H4" s="16" t="s">
        <v>12</v>
      </c>
      <c r="J4" s="16" t="s">
        <v>24</v>
      </c>
      <c r="N4" s="16" t="s">
        <v>67</v>
      </c>
      <c r="P4" s="16" t="s">
        <v>19</v>
      </c>
      <c r="R4" s="16" t="s">
        <v>15</v>
      </c>
      <c r="T4" s="16" t="s">
        <v>63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11</v>
      </c>
      <c r="H8" s="16"/>
      <c r="J8" s="16"/>
      <c r="N8" s="16"/>
      <c r="P8" s="16"/>
      <c r="R8" s="16" t="s">
        <v>19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17" t="s">
        <v>24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11</v>
      </c>
      <c r="F10" s="16"/>
      <c r="H10" s="16"/>
      <c r="J10" s="16"/>
      <c r="L10" s="17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Marruecos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17"/>
      <c r="N11" s="16"/>
      <c r="P11" s="16"/>
      <c r="R11" s="16"/>
      <c r="T11" s="16"/>
      <c r="V11" s="6" t="s">
        <v>20</v>
      </c>
      <c r="AX11" t="str">
        <f>D12</f>
        <v>Croacia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22</v>
      </c>
      <c r="F12" s="16" t="s">
        <v>24</v>
      </c>
      <c r="H12" s="16" t="s">
        <v>24</v>
      </c>
      <c r="J12" s="16"/>
      <c r="L12" s="17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17"/>
      <c r="N13" s="16"/>
      <c r="P13" s="16"/>
      <c r="R13" s="16"/>
      <c r="T13" s="16"/>
      <c r="V13" s="6" t="s">
        <v>23</v>
      </c>
      <c r="AX13" t="str">
        <f>F4</f>
        <v>Francia</v>
      </c>
      <c r="AY13" t="str">
        <f>F8</f>
        <v>Marruecos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17"/>
      <c r="N14" s="16"/>
      <c r="P14" s="16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8" t="s">
        <v>27</v>
      </c>
      <c r="N15" s="16"/>
      <c r="P15" s="16"/>
      <c r="R15" s="16"/>
      <c r="T15" s="16"/>
      <c r="V15" s="6" t="s">
        <v>28</v>
      </c>
      <c r="AX15" t="str">
        <f>H4</f>
        <v>Francia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18"/>
      <c r="N16" s="16"/>
      <c r="P16" s="16"/>
      <c r="R16" s="16" t="s">
        <v>31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Japon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Noruega</v>
      </c>
      <c r="AY28" t="str">
        <f>R8</f>
        <v>Inglaterra</v>
      </c>
    </row>
    <row r="29" spans="2:51" x14ac:dyDescent="0.25">
      <c r="AX29" t="str">
        <f>R12</f>
        <v>Argenina</v>
      </c>
      <c r="AY29" t="str">
        <f>R16</f>
        <v>Colombia</v>
      </c>
    </row>
    <row r="30" spans="2:51" x14ac:dyDescent="0.25">
      <c r="AX30" t="str">
        <f>P4</f>
        <v>Inglaterra</v>
      </c>
      <c r="AY30" t="str">
        <f>P12</f>
        <v>Argenina</v>
      </c>
    </row>
    <row r="31" spans="2:51" x14ac:dyDescent="0.25">
      <c r="AX31" t="str">
        <f>J4</f>
        <v>España</v>
      </c>
      <c r="AY31" t="str">
        <f>N4</f>
        <v>Argenina</v>
      </c>
    </row>
  </sheetData>
  <mergeCells count="36">
    <mergeCell ref="D6:D7"/>
    <mergeCell ref="T6:T7"/>
    <mergeCell ref="D8:D9"/>
    <mergeCell ref="F8:F11"/>
    <mergeCell ref="T14:T15"/>
    <mergeCell ref="L15:L16"/>
    <mergeCell ref="D16:D17"/>
    <mergeCell ref="F16:F19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R8:R11"/>
    <mergeCell ref="T8:T9"/>
    <mergeCell ref="L9:L14"/>
    <mergeCell ref="D10:D11"/>
    <mergeCell ref="T10:T11"/>
    <mergeCell ref="D12:D13"/>
    <mergeCell ref="F12:F15"/>
    <mergeCell ref="H12:H19"/>
    <mergeCell ref="P12:P19"/>
    <mergeCell ref="R12:R15"/>
    <mergeCell ref="T12:T13"/>
    <mergeCell ref="D14:D15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Milena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Milena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Milena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Marruecos</v>
      </c>
    </row>
    <row r="5" spans="1:7" x14ac:dyDescent="0.25">
      <c r="A5" s="14" t="str">
        <f>Bracket!$D$2</f>
        <v>Milena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Japon</v>
      </c>
    </row>
    <row r="6" spans="1:7" x14ac:dyDescent="0.25">
      <c r="A6" s="14" t="str">
        <f>Bracket!$D$2</f>
        <v>Milena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Milena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Milena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Milena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Milena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Milena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Milena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Croacia</v>
      </c>
    </row>
    <row r="13" spans="1:7" x14ac:dyDescent="0.25">
      <c r="A13" s="14" t="str">
        <f>Bracket!$D$2</f>
        <v>Milena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Milena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Milena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Milena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Milena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Milena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Milena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Marruecos</v>
      </c>
      <c r="G19" s="14" t="str">
        <f>Bracket!F8</f>
        <v>Marruecos</v>
      </c>
    </row>
    <row r="20" spans="1:7" x14ac:dyDescent="0.25">
      <c r="A20" s="14" t="str">
        <f>Bracket!$D$2</f>
        <v>Milena</v>
      </c>
      <c r="B20" s="15">
        <v>91</v>
      </c>
      <c r="C20" s="14" t="s">
        <v>57</v>
      </c>
      <c r="D20" s="15">
        <v>20</v>
      </c>
      <c r="E20" s="14" t="str">
        <f>Bracket!T4</f>
        <v>Japon</v>
      </c>
      <c r="F20" s="14" t="str">
        <f>Bracket!T6</f>
        <v>Noruega</v>
      </c>
      <c r="G20" s="14" t="str">
        <f>Bracket!R4</f>
        <v>Noruega</v>
      </c>
    </row>
    <row r="21" spans="1:7" x14ac:dyDescent="0.25">
      <c r="A21" s="14" t="str">
        <f>Bracket!$D$2</f>
        <v>Milena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Milena</v>
      </c>
      <c r="B22" s="15">
        <v>93</v>
      </c>
      <c r="C22" s="14" t="s">
        <v>57</v>
      </c>
      <c r="D22" s="15">
        <v>20</v>
      </c>
      <c r="E22" s="14" t="str">
        <f>Bracket!D12</f>
        <v>Croacia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Milena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Estados Unidos</v>
      </c>
    </row>
    <row r="24" spans="1:7" x14ac:dyDescent="0.25">
      <c r="A24" s="14" t="str">
        <f>Bracket!$D$2</f>
        <v>Milena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Milena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Milena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Marruecos</v>
      </c>
      <c r="G26" s="14" t="str">
        <f>Bracket!H4</f>
        <v>Francia</v>
      </c>
    </row>
    <row r="27" spans="1:7" x14ac:dyDescent="0.25">
      <c r="A27" s="14" t="str">
        <f>Bracket!$D$2</f>
        <v>Milena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Milena</v>
      </c>
      <c r="B28" s="15">
        <v>99</v>
      </c>
      <c r="C28" s="14" t="s">
        <v>58</v>
      </c>
      <c r="D28" s="15">
        <v>40</v>
      </c>
      <c r="E28" s="14" t="str">
        <f>Bracket!R4</f>
        <v>Noruega</v>
      </c>
      <c r="F28" s="14" t="str">
        <f>Bracket!R8</f>
        <v>Inglaterra</v>
      </c>
      <c r="G28" s="14" t="str">
        <f>Bracket!P4</f>
        <v>Inglaterra</v>
      </c>
    </row>
    <row r="29" spans="1:7" x14ac:dyDescent="0.25">
      <c r="A29" s="14" t="str">
        <f>Bracket!$D$2</f>
        <v>Milena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Colombia</v>
      </c>
      <c r="G29" s="14" t="str">
        <f>Bracket!P12</f>
        <v>Argenina</v>
      </c>
    </row>
    <row r="30" spans="1:7" x14ac:dyDescent="0.25">
      <c r="A30" s="14" t="str">
        <f>Bracket!$D$2</f>
        <v>Milena</v>
      </c>
      <c r="B30" s="15">
        <v>101</v>
      </c>
      <c r="C30" s="14" t="s">
        <v>59</v>
      </c>
      <c r="D30" s="15">
        <v>80</v>
      </c>
      <c r="E30" s="14" t="str">
        <f>Bracket!H4</f>
        <v>Francia</v>
      </c>
      <c r="F30" s="14" t="str">
        <f>Bracket!H12</f>
        <v>España</v>
      </c>
      <c r="G30" s="14" t="str">
        <f>Bracket!J4</f>
        <v>España</v>
      </c>
    </row>
    <row r="31" spans="1:7" x14ac:dyDescent="0.25">
      <c r="A31" s="14" t="str">
        <f>Bracket!$D$2</f>
        <v>Milena</v>
      </c>
      <c r="B31" s="15">
        <v>102</v>
      </c>
      <c r="C31" s="14" t="s">
        <v>59</v>
      </c>
      <c r="D31" s="15">
        <v>80</v>
      </c>
      <c r="E31" s="14" t="str">
        <f>Bracket!P4</f>
        <v>Inglaterra</v>
      </c>
      <c r="F31" s="14" t="str">
        <f>Bracket!P12</f>
        <v>Argenina</v>
      </c>
      <c r="G31" s="14" t="str">
        <f>Bracket!N4</f>
        <v>Argenina</v>
      </c>
    </row>
    <row r="32" spans="1:7" x14ac:dyDescent="0.25">
      <c r="A32" s="14" t="str">
        <f>Bracket!$D$2</f>
        <v>Milena</v>
      </c>
      <c r="B32" s="15">
        <v>103</v>
      </c>
      <c r="C32" s="14" t="s">
        <v>60</v>
      </c>
      <c r="D32" s="15">
        <v>160</v>
      </c>
      <c r="E32" s="14" t="str">
        <f>Bracket!J4</f>
        <v>España</v>
      </c>
      <c r="F32" s="14" t="str">
        <f>Bracket!N4</f>
        <v>Argenina</v>
      </c>
      <c r="G32" s="14" t="str">
        <f>Bracket!L9</f>
        <v>España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2026-06-28T14:30:51Z</dcterms:modified>
  <dc:language>en-US</dc:language>
</cp:coreProperties>
</file>