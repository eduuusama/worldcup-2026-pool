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8_{0E11B438-71AF-3545-B926-65FCE7A1F2EF}" xr6:coauthVersionLast="47" xr6:coauthVersionMax="47" xr10:uidLastSave="{B52BDBF7-4E8C-4664-85D8-5CFE3496EC72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<sst xmlns="http://schemas.openxmlformats.org/spreadsheetml/2006/main" count="132" uniqueCount="70">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</sst>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AX1" t="str">
        <f>B4</f>
        <v>Alemania</v>
      </c>
      <c r="AY1" t="str">
        <f>B5</f>
        <v>Paraguay</v>
      </c>
    </row>
    <row r="2" spans="2:51" ht="24" customHeight="1" x14ac:dyDescent="0.25">
      <c r="B2" s="19" t="s">
        <v>1</v>
      </c>
      <c r="C2" s="19"/>
      <c r="D2" s="20" t="s">
        <v>69</v>
      </c>
      <c r="E2" s="20"/>
      <c r="F2" s="20"/>
      <c r="G2" s="20"/>
      <c r="H2" s="20"/>
      <c r="J2" s="21" t="s">
        <v>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9</v>
      </c>
      <c r="H4" s="16" t="s">
        <v>9</v>
      </c>
      <c r="J4" s="16" t="s">
        <v>24</v>
      </c>
      <c r="N4" s="16" t="s">
        <v>67</v>
      </c>
      <c r="P4" s="16" t="s">
        <v>19</v>
      </c>
      <c r="R4" s="16" t="s">
        <v>18</v>
      </c>
      <c r="T4" s="16" t="s">
        <v>18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16"/>
      <c r="T5" s="16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16"/>
      <c r="T6" s="16" t="s">
        <v>13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16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64</v>
      </c>
      <c r="F8" s="16" t="s">
        <v>11</v>
      </c>
      <c r="H8" s="16"/>
      <c r="J8" s="16"/>
      <c r="N8" s="16"/>
      <c r="P8" s="16"/>
      <c r="R8" s="16" t="s">
        <v>19</v>
      </c>
      <c r="T8" s="16" t="s">
        <v>17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22" t="s">
        <v>24</v>
      </c>
      <c r="N9" s="16"/>
      <c r="P9" s="16"/>
      <c r="R9" s="16"/>
      <c r="T9" s="16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11</v>
      </c>
      <c r="F10" s="16"/>
      <c r="H10" s="16"/>
      <c r="J10" s="16"/>
      <c r="L10" s="22"/>
      <c r="N10" s="16"/>
      <c r="P10" s="16"/>
      <c r="R10" s="16"/>
      <c r="T10" s="16" t="s">
        <v>19</v>
      </c>
      <c r="V10" s="6" t="s">
        <v>19</v>
      </c>
      <c r="AX10" t="str">
        <f>D8</f>
        <v>Sudafrica</v>
      </c>
      <c r="AY10" t="str">
        <f>D10</f>
        <v>Marruecos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22"/>
      <c r="N11" s="16"/>
      <c r="P11" s="16"/>
      <c r="R11" s="16"/>
      <c r="T11" s="16"/>
      <c r="V11" s="6" t="s">
        <v>20</v>
      </c>
      <c r="AX11" t="str">
        <f>D12</f>
        <v>Portugal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21</v>
      </c>
      <c r="F12" s="16" t="s">
        <v>24</v>
      </c>
      <c r="H12" s="16" t="s">
        <v>24</v>
      </c>
      <c r="J12" s="16"/>
      <c r="L12" s="22"/>
      <c r="N12" s="16"/>
      <c r="P12" s="16" t="s">
        <v>67</v>
      </c>
      <c r="R12" s="16" t="s">
        <v>67</v>
      </c>
      <c r="T12" s="16" t="s">
        <v>67</v>
      </c>
      <c r="V12" s="6" t="s">
        <v>67</v>
      </c>
      <c r="AX12" t="str">
        <f>D16</f>
        <v>Estados Unidos</v>
      </c>
      <c r="AY12" t="str">
        <f>D18</f>
        <v>Senegal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22"/>
      <c r="N13" s="16"/>
      <c r="P13" s="16"/>
      <c r="R13" s="16"/>
      <c r="T13" s="16"/>
      <c r="V13" s="6" t="s">
        <v>23</v>
      </c>
      <c r="AX13" t="str">
        <f>F4</f>
        <v>Alemania</v>
      </c>
      <c r="AY13" t="str">
        <f>F8</f>
        <v>Marruecos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22"/>
      <c r="N14" s="16"/>
      <c r="P14" s="16"/>
      <c r="R14" s="16"/>
      <c r="T14" s="16" t="s">
        <v>28</v>
      </c>
      <c r="V14" s="6" t="s">
        <v>25</v>
      </c>
      <c r="AX14" t="str">
        <f>F12</f>
        <v>España</v>
      </c>
      <c r="AY14" t="str">
        <f>F16</f>
        <v>Senegal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17" t="s">
        <v>27</v>
      </c>
      <c r="N15" s="16"/>
      <c r="P15" s="16"/>
      <c r="R15" s="16"/>
      <c r="T15" s="16"/>
      <c r="V15" s="6" t="s">
        <v>28</v>
      </c>
      <c r="AX15" t="str">
        <f>H4</f>
        <v>Alemania</v>
      </c>
      <c r="AY15" t="str">
        <f>H12</f>
        <v>España</v>
      </c>
    </row>
    <row r="16" spans="2:51" ht="19.5" customHeight="1" x14ac:dyDescent="0.25">
      <c r="B16" s="6" t="s">
        <v>29</v>
      </c>
      <c r="D16" s="16" t="s">
        <v>29</v>
      </c>
      <c r="F16" s="16" t="s">
        <v>32</v>
      </c>
      <c r="H16" s="16"/>
      <c r="J16" s="16"/>
      <c r="L16" s="17"/>
      <c r="N16" s="16"/>
      <c r="P16" s="16"/>
      <c r="R16" s="16" t="s">
        <v>31</v>
      </c>
      <c r="T16" s="16" t="s">
        <v>30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16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32</v>
      </c>
      <c r="F18" s="16"/>
      <c r="H18" s="16"/>
      <c r="J18" s="16"/>
      <c r="N18" s="16"/>
      <c r="P18" s="16"/>
      <c r="R18" s="16"/>
      <c r="T18" s="16" t="s">
        <v>31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16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Brasil</v>
      </c>
      <c r="AY24" t="str">
        <f>T6</f>
        <v>Costa de Marfil</v>
      </c>
    </row>
    <row r="25" spans="2:51" x14ac:dyDescent="0.25">
      <c r="AX25" t="str">
        <f>T8</f>
        <v>Ecuador</v>
      </c>
      <c r="AY25" t="str">
        <f>T10</f>
        <v>Inglaterra</v>
      </c>
    </row>
    <row r="26" spans="2:51" x14ac:dyDescent="0.25">
      <c r="AX26" t="str">
        <f>T12</f>
        <v>Argenina</v>
      </c>
      <c r="AY26" t="str">
        <f>T14</f>
        <v>Egipto</v>
      </c>
    </row>
    <row r="27" spans="2:51" x14ac:dyDescent="0.25">
      <c r="AX27" t="str">
        <f>T16</f>
        <v>Suiza</v>
      </c>
      <c r="AY27" t="str">
        <f>T18</f>
        <v>Colombia</v>
      </c>
    </row>
    <row r="28" spans="2:51" x14ac:dyDescent="0.25">
      <c r="AX28" t="str">
        <f>R4</f>
        <v>Brasil</v>
      </c>
      <c r="AY28" t="str">
        <f>R8</f>
        <v>Inglaterra</v>
      </c>
    </row>
    <row r="29" spans="2:51" x14ac:dyDescent="0.25">
      <c r="AX29" t="str">
        <f>R12</f>
        <v>Argenina</v>
      </c>
      <c r="AY29" t="str">
        <f>R16</f>
        <v>Colombia</v>
      </c>
    </row>
    <row r="30" spans="2:51" x14ac:dyDescent="0.25">
      <c r="AX30" t="str">
        <f>P4</f>
        <v>Inglaterra</v>
      </c>
      <c r="AY30" t="str">
        <f>P12</f>
        <v>Argenina</v>
      </c>
    </row>
    <row r="31" spans="2:51" x14ac:dyDescent="0.25">
      <c r="AX31" t="str">
        <f>J4</f>
        <v>España</v>
      </c>
      <c r="AY31" t="str">
        <f>N4</f>
        <v>Argenina</v>
      </c>
    </row>
  </sheetData>
  <mergeCells count="36"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T10:T11"/>
    <mergeCell ref="D12:D13"/>
    <mergeCell ref="F12:F15"/>
    <mergeCell ref="H12:H19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Ricardo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Sudafrica</v>
      </c>
    </row>
    <row r="3" spans="1:7" x14ac:dyDescent="0.25">
      <c r="A3" s="14" t="str">
        <f>Bracket!$D$2</f>
        <v>Ricardo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Ricardo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Marruecos</v>
      </c>
    </row>
    <row r="5" spans="1:7" x14ac:dyDescent="0.25">
      <c r="A5" s="14" t="str">
        <f>Bracket!$D$2</f>
        <v>Ricardo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Brasil</v>
      </c>
    </row>
    <row r="6" spans="1:7" x14ac:dyDescent="0.25">
      <c r="A6" s="14" t="str">
        <f>Bracket!$D$2</f>
        <v>Ricardo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Ricardo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Costa de Marfil</v>
      </c>
    </row>
    <row r="8" spans="1:7" x14ac:dyDescent="0.25">
      <c r="A8" s="14" t="str">
        <f>Bracket!$D$2</f>
        <v>Ricardo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Ecuador</v>
      </c>
    </row>
    <row r="9" spans="1:7" x14ac:dyDescent="0.25">
      <c r="A9" s="14" t="str">
        <f>Bracket!$D$2</f>
        <v>Ricardo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Ricardo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Estados Unidos</v>
      </c>
    </row>
    <row r="11" spans="1:7" x14ac:dyDescent="0.25">
      <c r="A11" s="14" t="str">
        <f>Bracket!$D$2</f>
        <v>Ricardo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Senegal</v>
      </c>
    </row>
    <row r="12" spans="1:7" x14ac:dyDescent="0.25">
      <c r="A12" s="14" t="str">
        <f>Bracket!$D$2</f>
        <v>Ricardo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Portugal</v>
      </c>
    </row>
    <row r="13" spans="1:7" x14ac:dyDescent="0.25">
      <c r="A13" s="14" t="str">
        <f>Bracket!$D$2</f>
        <v>Ricardo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Ricardo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Suiza</v>
      </c>
    </row>
    <row r="15" spans="1:7" x14ac:dyDescent="0.25">
      <c r="A15" s="14" t="str">
        <f>Bracket!$D$2</f>
        <v>Ricardo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Argenina</v>
      </c>
    </row>
    <row r="16" spans="1:7" x14ac:dyDescent="0.25">
      <c r="A16" s="14" t="str">
        <f>Bracket!$D$2</f>
        <v>Ricardo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Colombia</v>
      </c>
    </row>
    <row r="17" spans="1:7" x14ac:dyDescent="0.25">
      <c r="A17" s="14" t="str">
        <f>Bracket!$D$2</f>
        <v>Ricardo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Egipto</v>
      </c>
    </row>
    <row r="18" spans="1:7" x14ac:dyDescent="0.25">
      <c r="A18" s="14" t="str">
        <f>Bracket!$D$2</f>
        <v>Ricardo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Alemania</v>
      </c>
    </row>
    <row r="19" spans="1:7" x14ac:dyDescent="0.25">
      <c r="A19" s="14" t="str">
        <f>Bracket!$D$2</f>
        <v>Ricardo</v>
      </c>
      <c r="B19" s="15">
        <v>90</v>
      </c>
      <c r="C19" s="14" t="s">
        <v>57</v>
      </c>
      <c r="D19" s="15">
        <v>20</v>
      </c>
      <c r="E19" s="14" t="str">
        <f>Bracket!D8</f>
        <v>Sudafrica</v>
      </c>
      <c r="F19" s="14" t="str">
        <f>Bracket!D10</f>
        <v>Marruecos</v>
      </c>
      <c r="G19" s="14" t="str">
        <f>Bracket!F8</f>
        <v>Marruecos</v>
      </c>
    </row>
    <row r="20" spans="1:7" x14ac:dyDescent="0.25">
      <c r="A20" s="14" t="str">
        <f>Bracket!$D$2</f>
        <v>Ricardo</v>
      </c>
      <c r="B20" s="15">
        <v>91</v>
      </c>
      <c r="C20" s="14" t="s">
        <v>57</v>
      </c>
      <c r="D20" s="15">
        <v>20</v>
      </c>
      <c r="E20" s="14" t="str">
        <f>Bracket!T4</f>
        <v>Brasil</v>
      </c>
      <c r="F20" s="14" t="str">
        <f>Bracket!T6</f>
        <v>Costa de Marfil</v>
      </c>
      <c r="G20" s="14" t="str">
        <f>Bracket!R4</f>
        <v>Brasil</v>
      </c>
    </row>
    <row r="21" spans="1:7" x14ac:dyDescent="0.25">
      <c r="A21" s="14" t="str">
        <f>Bracket!$D$2</f>
        <v>Ricardo</v>
      </c>
      <c r="B21" s="15">
        <v>92</v>
      </c>
      <c r="C21" s="14" t="s">
        <v>57</v>
      </c>
      <c r="D21" s="15">
        <v>20</v>
      </c>
      <c r="E21" s="14" t="str">
        <f>Bracket!T8</f>
        <v>Ecuador</v>
      </c>
      <c r="F21" s="14" t="str">
        <f>Bracket!T10</f>
        <v>Inglaterra</v>
      </c>
      <c r="G21" s="14" t="str">
        <f>Bracket!R8</f>
        <v>Inglaterra</v>
      </c>
    </row>
    <row r="22" spans="1:7" x14ac:dyDescent="0.25">
      <c r="A22" s="14" t="str">
        <f>Bracket!$D$2</f>
        <v>Ricardo</v>
      </c>
      <c r="B22" s="15">
        <v>93</v>
      </c>
      <c r="C22" s="14" t="s">
        <v>57</v>
      </c>
      <c r="D22" s="15">
        <v>20</v>
      </c>
      <c r="E22" s="14" t="str">
        <f>Bracket!D12</f>
        <v>Portugal</v>
      </c>
      <c r="F22" s="14" t="str">
        <f>Bracket!D14</f>
        <v>España</v>
      </c>
      <c r="G22" s="14" t="str">
        <f>Bracket!F12</f>
        <v>España</v>
      </c>
    </row>
    <row r="23" spans="1:7" x14ac:dyDescent="0.25">
      <c r="A23" s="14" t="str">
        <f>Bracket!$D$2</f>
        <v>Ricardo</v>
      </c>
      <c r="B23" s="15">
        <v>94</v>
      </c>
      <c r="C23" s="14" t="s">
        <v>57</v>
      </c>
      <c r="D23" s="15">
        <v>20</v>
      </c>
      <c r="E23" s="14" t="str">
        <f>Bracket!D16</f>
        <v>Estados Unidos</v>
      </c>
      <c r="F23" s="14" t="str">
        <f>Bracket!D18</f>
        <v>Senegal</v>
      </c>
      <c r="G23" s="14" t="str">
        <f>Bracket!F16</f>
        <v>Senegal</v>
      </c>
    </row>
    <row r="24" spans="1:7" x14ac:dyDescent="0.25">
      <c r="A24" s="14" t="str">
        <f>Bracket!$D$2</f>
        <v>Ricardo</v>
      </c>
      <c r="B24" s="15">
        <v>95</v>
      </c>
      <c r="C24" s="14" t="s">
        <v>57</v>
      </c>
      <c r="D24" s="15">
        <v>20</v>
      </c>
      <c r="E24" s="14" t="str">
        <f>Bracket!T12</f>
        <v>Argenina</v>
      </c>
      <c r="F24" s="14" t="str">
        <f>Bracket!T14</f>
        <v>Egipto</v>
      </c>
      <c r="G24" s="14" t="str">
        <f>Bracket!R12</f>
        <v>Argenina</v>
      </c>
    </row>
    <row r="25" spans="1:7" x14ac:dyDescent="0.25">
      <c r="A25" s="14" t="str">
        <f>Bracket!$D$2</f>
        <v>Ricardo</v>
      </c>
      <c r="B25" s="15">
        <v>96</v>
      </c>
      <c r="C25" s="14" t="s">
        <v>57</v>
      </c>
      <c r="D25" s="15">
        <v>20</v>
      </c>
      <c r="E25" s="14" t="str">
        <f>Bracket!T16</f>
        <v>Suiza</v>
      </c>
      <c r="F25" s="14" t="str">
        <f>Bracket!T18</f>
        <v>Colombia</v>
      </c>
      <c r="G25" s="14" t="str">
        <f>Bracket!R16</f>
        <v>Colombia</v>
      </c>
    </row>
    <row r="26" spans="1:7" x14ac:dyDescent="0.25">
      <c r="A26" s="14" t="str">
        <f>Bracket!$D$2</f>
        <v>Ricardo</v>
      </c>
      <c r="B26" s="15">
        <v>97</v>
      </c>
      <c r="C26" s="14" t="s">
        <v>58</v>
      </c>
      <c r="D26" s="15">
        <v>40</v>
      </c>
      <c r="E26" s="14" t="str">
        <f>Bracket!F4</f>
        <v>Alemania</v>
      </c>
      <c r="F26" s="14" t="str">
        <f>Bracket!F8</f>
        <v>Marruecos</v>
      </c>
      <c r="G26" s="14" t="str">
        <f>Bracket!H4</f>
        <v>Alemania</v>
      </c>
    </row>
    <row r="27" spans="1:7" x14ac:dyDescent="0.25">
      <c r="A27" s="14" t="str">
        <f>Bracket!$D$2</f>
        <v>Ricardo</v>
      </c>
      <c r="B27" s="15">
        <v>98</v>
      </c>
      <c r="C27" s="14" t="s">
        <v>58</v>
      </c>
      <c r="D27" s="15">
        <v>40</v>
      </c>
      <c r="E27" s="14" t="str">
        <f>Bracket!F12</f>
        <v>España</v>
      </c>
      <c r="F27" s="14" t="str">
        <f>Bracket!F16</f>
        <v>Senegal</v>
      </c>
      <c r="G27" s="14" t="str">
        <f>Bracket!H12</f>
        <v>España</v>
      </c>
    </row>
    <row r="28" spans="1:7" x14ac:dyDescent="0.25">
      <c r="A28" s="14" t="str">
        <f>Bracket!$D$2</f>
        <v>Ricardo</v>
      </c>
      <c r="B28" s="15">
        <v>99</v>
      </c>
      <c r="C28" s="14" t="s">
        <v>58</v>
      </c>
      <c r="D28" s="15">
        <v>40</v>
      </c>
      <c r="E28" s="14" t="str">
        <f>Bracket!R4</f>
        <v>Brasil</v>
      </c>
      <c r="F28" s="14" t="str">
        <f>Bracket!R8</f>
        <v>Inglaterra</v>
      </c>
      <c r="G28" s="14" t="str">
        <f>Bracket!P4</f>
        <v>Inglaterra</v>
      </c>
    </row>
    <row r="29" spans="1:7" x14ac:dyDescent="0.25">
      <c r="A29" s="14" t="str">
        <f>Bracket!$D$2</f>
        <v>Ricardo</v>
      </c>
      <c r="B29" s="15">
        <v>100</v>
      </c>
      <c r="C29" s="14" t="s">
        <v>58</v>
      </c>
      <c r="D29" s="15">
        <v>40</v>
      </c>
      <c r="E29" s="14" t="str">
        <f>Bracket!R12</f>
        <v>Argenina</v>
      </c>
      <c r="F29" s="14" t="str">
        <f>Bracket!R16</f>
        <v>Colombia</v>
      </c>
      <c r="G29" s="14" t="str">
        <f>Bracket!P12</f>
        <v>Argenina</v>
      </c>
    </row>
    <row r="30" spans="1:7" x14ac:dyDescent="0.25">
      <c r="A30" s="14" t="str">
        <f>Bracket!$D$2</f>
        <v>Ricardo</v>
      </c>
      <c r="B30" s="15">
        <v>101</v>
      </c>
      <c r="C30" s="14" t="s">
        <v>59</v>
      </c>
      <c r="D30" s="15">
        <v>80</v>
      </c>
      <c r="E30" s="14" t="str">
        <f>Bracket!H4</f>
        <v>Alemania</v>
      </c>
      <c r="F30" s="14" t="str">
        <f>Bracket!H12</f>
        <v>España</v>
      </c>
      <c r="G30" s="14" t="str">
        <f>Bracket!J4</f>
        <v>España</v>
      </c>
    </row>
    <row r="31" spans="1:7" x14ac:dyDescent="0.25">
      <c r="A31" s="14" t="str">
        <f>Bracket!$D$2</f>
        <v>Ricardo</v>
      </c>
      <c r="B31" s="15">
        <v>102</v>
      </c>
      <c r="C31" s="14" t="s">
        <v>59</v>
      </c>
      <c r="D31" s="15">
        <v>80</v>
      </c>
      <c r="E31" s="14" t="str">
        <f>Bracket!P4</f>
        <v>Inglaterra</v>
      </c>
      <c r="F31" s="14" t="str">
        <f>Bracket!P12</f>
        <v>Argenina</v>
      </c>
      <c r="G31" s="14" t="str">
        <f>Bracket!N4</f>
        <v>Argenina</v>
      </c>
    </row>
    <row r="32" spans="1:7" x14ac:dyDescent="0.25">
      <c r="A32" s="14" t="str">
        <f>Bracket!$D$2</f>
        <v>Ricardo</v>
      </c>
      <c r="B32" s="15">
        <v>103</v>
      </c>
      <c r="C32" s="14" t="s">
        <v>60</v>
      </c>
      <c r="D32" s="15">
        <v>160</v>
      </c>
      <c r="E32" s="14" t="str">
        <f>Bracket!J4</f>
        <v>España</v>
      </c>
      <c r="F32" s="14" t="str">
        <f>Bracket!N4</f>
        <v>Argenina</v>
      </c>
      <c r="G32" s="14" t="str">
        <f>Bracket!L9</f>
        <v>España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2026-06-29T14:56:25Z</dcterms:modified>
  <dc:language>en-US</dc:language>
</cp:coreProperties>
</file>