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https://d.docs.live.net/c824c1a30c43606f/Desktop/"/>
    </mc:Choice>
  </mc:AlternateContent>
  <xr:revisionPtr revIDLastSave="1" documentId="8_{C5690468-2FE7-473F-99B8-6DA566061141}" xr6:coauthVersionLast="47" xr6:coauthVersionMax="47" xr10:uidLastSave="{4891EF60-0E82-4D04-884A-F5EA51DCDC77}"/>
  <bookViews>
    <workbookView xWindow="-120" yWindow="-120" windowWidth="29040" windowHeight="15720" tabRatio="500" xr2:uid="{00000000-000D-0000-FFFF-FFFF00000000}"/>
  </bookViews>
  <sheets>
    <sheet name="Bracket" sheetId="1" r:id="rId1"/>
    <sheet name="Instrucciones" sheetId="2" r:id="rId2"/>
    <sheet name="Export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G32" i="3" l="1"/>
  <c r="F32" i="3"/>
  <c r="E32" i="3"/>
  <c r="A32" i="3"/>
  <c r="G31" i="3"/>
  <c r="F31" i="3"/>
  <c r="E31" i="3"/>
  <c r="A31" i="3"/>
  <c r="G30" i="3"/>
  <c r="F30" i="3"/>
  <c r="E30" i="3"/>
  <c r="A30" i="3"/>
  <c r="G29" i="3"/>
  <c r="F29" i="3"/>
  <c r="E29" i="3"/>
  <c r="A29" i="3"/>
  <c r="G28" i="3"/>
  <c r="F28" i="3"/>
  <c r="E28" i="3"/>
  <c r="A28" i="3"/>
  <c r="G27" i="3"/>
  <c r="F27" i="3"/>
  <c r="E27" i="3"/>
  <c r="A27" i="3"/>
  <c r="G26" i="3"/>
  <c r="F26" i="3"/>
  <c r="E26" i="3"/>
  <c r="A26" i="3"/>
  <c r="G25" i="3"/>
  <c r="F25" i="3"/>
  <c r="E25" i="3"/>
  <c r="A25" i="3"/>
  <c r="G24" i="3"/>
  <c r="F24" i="3"/>
  <c r="E24" i="3"/>
  <c r="A24" i="3"/>
  <c r="G23" i="3"/>
  <c r="F23" i="3"/>
  <c r="E23" i="3"/>
  <c r="A23" i="3"/>
  <c r="G22" i="3"/>
  <c r="F22" i="3"/>
  <c r="E22" i="3"/>
  <c r="A22" i="3"/>
  <c r="G21" i="3"/>
  <c r="F21" i="3"/>
  <c r="E21" i="3"/>
  <c r="A21" i="3"/>
  <c r="G20" i="3"/>
  <c r="F20" i="3"/>
  <c r="E20" i="3"/>
  <c r="A20" i="3"/>
  <c r="G19" i="3"/>
  <c r="F19" i="3"/>
  <c r="E19" i="3"/>
  <c r="A19" i="3"/>
  <c r="G18" i="3"/>
  <c r="F18" i="3"/>
  <c r="E18" i="3"/>
  <c r="A18" i="3"/>
  <c r="G17" i="3"/>
  <c r="F17" i="3"/>
  <c r="E17" i="3"/>
  <c r="A17" i="3"/>
  <c r="G16" i="3"/>
  <c r="F16" i="3"/>
  <c r="E16" i="3"/>
  <c r="A16" i="3"/>
  <c r="G15" i="3"/>
  <c r="F15" i="3"/>
  <c r="E15" i="3"/>
  <c r="A15" i="3"/>
  <c r="G14" i="3"/>
  <c r="F14" i="3"/>
  <c r="E14" i="3"/>
  <c r="A14" i="3"/>
  <c r="G13" i="3"/>
  <c r="F13" i="3"/>
  <c r="E13" i="3"/>
  <c r="A13" i="3"/>
  <c r="G12" i="3"/>
  <c r="F12" i="3"/>
  <c r="E12" i="3"/>
  <c r="A12" i="3"/>
  <c r="G11" i="3"/>
  <c r="F11" i="3"/>
  <c r="E11" i="3"/>
  <c r="A11" i="3"/>
  <c r="G10" i="3"/>
  <c r="F10" i="3"/>
  <c r="E10" i="3"/>
  <c r="A10" i="3"/>
  <c r="G9" i="3"/>
  <c r="F9" i="3"/>
  <c r="E9" i="3"/>
  <c r="A9" i="3"/>
  <c r="G8" i="3"/>
  <c r="F8" i="3"/>
  <c r="E8" i="3"/>
  <c r="A8" i="3"/>
  <c r="G7" i="3"/>
  <c r="F7" i="3"/>
  <c r="E7" i="3"/>
  <c r="A7" i="3"/>
  <c r="G6" i="3"/>
  <c r="F6" i="3"/>
  <c r="E6" i="3"/>
  <c r="A6" i="3"/>
  <c r="G5" i="3"/>
  <c r="F5" i="3"/>
  <c r="E5" i="3"/>
  <c r="A5" i="3"/>
  <c r="G4" i="3"/>
  <c r="F4" i="3"/>
  <c r="E4" i="3"/>
  <c r="A4" i="3"/>
  <c r="G3" i="3"/>
  <c r="F3" i="3"/>
  <c r="E3" i="3"/>
  <c r="A3" i="3"/>
  <c r="G2" i="3"/>
  <c r="F2" i="3"/>
  <c r="E2" i="3"/>
  <c r="A2" i="3"/>
  <c r="AY31" i="1"/>
  <c r="AX31" i="1"/>
  <c r="AY30" i="1"/>
  <c r="AX30" i="1"/>
  <c r="AY29" i="1"/>
  <c r="AX29" i="1"/>
  <c r="AY28" i="1"/>
  <c r="AX28" i="1"/>
  <c r="AY27" i="1"/>
  <c r="AX27" i="1"/>
  <c r="AY26" i="1"/>
  <c r="AX26" i="1"/>
  <c r="AY25" i="1"/>
  <c r="AX25" i="1"/>
  <c r="AY24" i="1"/>
  <c r="AX24" i="1"/>
  <c r="AY23" i="1"/>
  <c r="AX23" i="1"/>
  <c r="AY22" i="1"/>
  <c r="AX22" i="1"/>
  <c r="AY21" i="1"/>
  <c r="AX21" i="1"/>
  <c r="AY20" i="1"/>
  <c r="AX20" i="1"/>
  <c r="AY19" i="1"/>
  <c r="AX19" i="1"/>
  <c r="AY18" i="1"/>
  <c r="AX18" i="1"/>
  <c r="AY17" i="1"/>
  <c r="AX17" i="1"/>
  <c r="AY16" i="1"/>
  <c r="AX16" i="1"/>
  <c r="AY15" i="1"/>
  <c r="AX15" i="1"/>
  <c r="AY14" i="1"/>
  <c r="AX14" i="1"/>
  <c r="AY13" i="1"/>
  <c r="AX13" i="1"/>
  <c r="AY12" i="1"/>
  <c r="AX12" i="1"/>
  <c r="AY11" i="1"/>
  <c r="AX11" i="1"/>
  <c r="AY10" i="1"/>
  <c r="AX10" i="1"/>
  <c r="AY9" i="1"/>
  <c r="AX9" i="1"/>
  <c r="AY8" i="1"/>
  <c r="AX8" i="1"/>
  <c r="AY7" i="1"/>
  <c r="AX7" i="1"/>
  <c r="AY6" i="1"/>
  <c r="AX6" i="1"/>
  <c r="AY5" i="1"/>
  <c r="AX5" i="1"/>
  <c r="AY4" i="1"/>
  <c r="AX4" i="1"/>
  <c r="AY3" i="1"/>
  <c r="AX3" i="1"/>
  <c r="AY2" i="1"/>
  <c r="AX2" i="1"/>
  <c r="AY1" i="1"/>
  <c r="AX1" i="1"/>
</calcChain>
</file>

<file path=xl/sharedStrings.xml><?xml version="1.0" encoding="utf-8"?>
<sst xmlns="http://schemas.openxmlformats.org/spreadsheetml/2006/main" count="132" uniqueCount="70">
  <si>
    <t>GRAN QUINELA MUNDIALISTA 2026  ·  CUADRO DE ELIMINATORIAS</t>
  </si>
  <si>
    <t>PARTICIPANTE:</t>
  </si>
  <si>
    <t>Elige el GANADOR de cada llave (menú desplegable); avanza al centro.  Cuadro final: 32 equipos confirmados.  Puntos: R32=10 · Octavos=20 · Cuartos=40 · Semis=80 · Final=160</t>
  </si>
  <si>
    <t>RONDA DE 32</t>
  </si>
  <si>
    <t>OCTAVOS</t>
  </si>
  <si>
    <t>CUARTOS</t>
  </si>
  <si>
    <t>SEMIS</t>
  </si>
  <si>
    <t>FINAL</t>
  </si>
  <si>
    <t>CAMPEÓN</t>
  </si>
  <si>
    <t>Alemania</t>
  </si>
  <si>
    <t>Paraguay</t>
  </si>
  <si>
    <t>Marruecos</t>
  </si>
  <si>
    <t>Francia</t>
  </si>
  <si>
    <t>Costa de Marfil</t>
  </si>
  <si>
    <t>Suecia</t>
  </si>
  <si>
    <t>Noruega</t>
  </si>
  <si>
    <t>México</t>
  </si>
  <si>
    <t>Ecuador</t>
  </si>
  <si>
    <t>Brasil</t>
  </si>
  <si>
    <t>Inglaterra</t>
  </si>
  <si>
    <t>RD Congo</t>
  </si>
  <si>
    <t>Portugal</t>
  </si>
  <si>
    <t>Croacia</t>
  </si>
  <si>
    <t>Cabo Verde</t>
  </si>
  <si>
    <t>España</t>
  </si>
  <si>
    <t>Australia</t>
  </si>
  <si>
    <t>Austria</t>
  </si>
  <si>
    <t>🏆 Tu Campeón</t>
  </si>
  <si>
    <t>Egipto</t>
  </si>
  <si>
    <t>Estados Unidos</t>
  </si>
  <si>
    <t>Suiza</t>
  </si>
  <si>
    <t>Colombia</t>
  </si>
  <si>
    <t>Senegal</t>
  </si>
  <si>
    <t>Ghana</t>
  </si>
  <si>
    <t>CÓMO LLENAR EL CUADRO</t>
  </si>
  <si>
    <t>En la hoja «Bracket» verás el cuadro completo: 16 equipos a la izquierda y 16 a la derecha, que avanzan hacia el centro (la Final y el Campeón).</t>
  </si>
  <si>
    <t>1) Escribe tu nombre en la celda amarilla (arriba a la izquierda).</t>
  </si>
  <si>
    <t>2) En cada llave azul, abre el menú y elige el equipo que AVANZA.</t>
  </si>
  <si>
    <t xml:space="preserve">   Empieza por la columna OCTAVOS (ganadores de la Ronda de 32) y ve avanzando hacia el centro: Cuartos, Semis, Final y Campeón. Tu elección aparece automáticamente como opción en la ronda siguiente.</t>
  </si>
  <si>
    <t>3) Colores</t>
  </si>
  <si>
    <t xml:space="preserve">   • Verde = selección válida hecha.   • Naranja = quedó «huérfana» (cambiaste una ronda previa): vuelve a elegir.</t>
  </si>
  <si>
    <t xml:space="preserve">   • Fase de grupos concluida: los 32 equipos del cuadro están confirmados (sin plazas pendientes).</t>
  </si>
  <si>
    <t>PUNTOS POR ACIERTO (se calculan al consolidar)</t>
  </si>
  <si>
    <t xml:space="preserve">   • Ronda de 32 — 10 pts</t>
  </si>
  <si>
    <t xml:space="preserve">   • Octavos — 20 pts</t>
  </si>
  <si>
    <t xml:space="preserve">   • Cuartos — 40 pts</t>
  </si>
  <si>
    <t xml:space="preserve">   • Semifinales — 80 pts</t>
  </si>
  <si>
    <t xml:space="preserve">   • Final — 160 pts</t>
  </si>
  <si>
    <t>Devuelve el archivo con tu nombre; el organizador junta los 16 (hoja «Export») y arma la tabla.</t>
  </si>
  <si>
    <t>participante</t>
  </si>
  <si>
    <t>match_id</t>
  </si>
  <si>
    <t>ronda</t>
  </si>
  <si>
    <t>puntos</t>
  </si>
  <si>
    <t>equipo_a</t>
  </si>
  <si>
    <t>equipo_b</t>
  </si>
  <si>
    <t>mi_pick</t>
  </si>
  <si>
    <t>Ronda de 32</t>
  </si>
  <si>
    <t>Octavos</t>
  </si>
  <si>
    <t>Cuartos</t>
  </si>
  <si>
    <t>Semifinal</t>
  </si>
  <si>
    <t>Final</t>
  </si>
  <si>
    <t>Canada</t>
  </si>
  <si>
    <t>Paises Bajos</t>
  </si>
  <si>
    <t>Japon</t>
  </si>
  <si>
    <t>Sudafrica</t>
  </si>
  <si>
    <t>Bosnia</t>
  </si>
  <si>
    <t>Belgica</t>
  </si>
  <si>
    <t>Argenina</t>
  </si>
  <si>
    <t>Algeria</t>
  </si>
  <si>
    <t>Eddie y Liza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</si>
</sst>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 x14ac:knownFonts="1">
    <font>
      <sz val="11"/>
      <color theme="1"/>
      <name val="Calibri"/>
      <family val="2"/>
      <charset val="1"/>
    </font>
    <font>
      <b/>
      <sz val="15"/>
      <color rgb="FFFFFFFF"/>
      <name val="Arial"/>
      <charset val="1"/>
    </font>
    <font>
      <b/>
      <sz val="10"/>
      <color rgb="FF000000"/>
      <name val="Arial"/>
      <charset val="1"/>
    </font>
    <font>
      <b/>
      <sz val="11"/>
      <color rgb="FF000000"/>
      <name val="Arial"/>
      <charset val="1"/>
    </font>
    <font>
      <i/>
      <sz val="8.5"/>
      <color rgb="FF566573"/>
      <name val="Arial"/>
      <charset val="1"/>
    </font>
    <font>
      <b/>
      <sz val="8.5"/>
      <color rgb="FFFFFFFF"/>
      <name val="Arial"/>
      <charset val="1"/>
    </font>
    <font>
      <sz val="9"/>
      <color rgb="FF000000"/>
      <name val="Arial"/>
      <charset val="1"/>
    </font>
    <font>
      <b/>
      <sz val="9"/>
      <color rgb="FF000000"/>
      <name val="Arial"/>
      <charset val="1"/>
    </font>
    <font>
      <b/>
      <sz val="12"/>
      <color rgb="FF922B21"/>
      <name val="Arial"/>
      <charset val="1"/>
    </font>
    <font>
      <b/>
      <sz val="9"/>
      <color rgb="FF922B21"/>
      <name val="Arial"/>
      <charset val="1"/>
    </font>
    <font>
      <b/>
      <sz val="14"/>
      <color rgb="FFFFFFFF"/>
      <name val="Arial"/>
      <charset val="1"/>
    </font>
    <font>
      <sz val="10"/>
      <color rgb="FF1C2833"/>
      <name val="Arial"/>
      <charset val="1"/>
    </font>
    <font>
      <b/>
      <sz val="10"/>
      <color rgb="FF1A5276"/>
      <name val="Arial"/>
      <charset val="1"/>
    </font>
    <font>
      <sz val="9"/>
      <color rgb="FF566573"/>
      <name val="Arial"/>
      <charset val="1"/>
    </font>
    <font>
      <b/>
      <sz val="11"/>
      <color rgb="FFFFFFFF"/>
      <name val="Arial"/>
      <charset val="1"/>
    </font>
    <font>
      <sz val="10"/>
      <color rgb="FF000000"/>
      <name val="Arial"/>
      <charset val="1"/>
    </font>
    <font>
      <b/>
      <sz val="10"/>
      <color rgb="FFFFFFFF"/>
      <name val="Arial"/>
      <charset val="1"/>
    </font>
  </fonts>
  <fills count="13">
    <fill>
      <patternFill patternType="none"/>
    </fill>
    <fill>
      <patternFill patternType="gray125"/>
    </fill>
    <fill>
      <patternFill patternType="solid">
        <fgColor rgb="FF0B1F3A"/>
        <bgColor rgb="FF1C2833"/>
      </patternFill>
    </fill>
    <fill>
      <patternFill patternType="solid">
        <fgColor rgb="FFFFF6CC"/>
        <bgColor rgb="FFFCF3CF"/>
      </patternFill>
    </fill>
    <fill>
      <patternFill patternType="solid">
        <fgColor rgb="FF1B4F72"/>
        <bgColor rgb="FF1A5276"/>
      </patternFill>
    </fill>
    <fill>
      <patternFill patternType="solid">
        <fgColor rgb="FF1F6F8B"/>
        <bgColor rgb="FF117A65"/>
      </patternFill>
    </fill>
    <fill>
      <patternFill patternType="solid">
        <fgColor rgb="FF117A65"/>
        <bgColor rgb="FF1F6F8B"/>
      </patternFill>
    </fill>
    <fill>
      <patternFill patternType="solid">
        <fgColor rgb="FFB9770E"/>
        <bgColor rgb="FFFF6600"/>
      </patternFill>
    </fill>
    <fill>
      <patternFill patternType="solid">
        <fgColor rgb="FF922B21"/>
        <bgColor rgb="FF993366"/>
      </patternFill>
    </fill>
    <fill>
      <patternFill patternType="solid">
        <fgColor rgb="FFF4F6F7"/>
        <bgColor rgb="FFEAF2FB"/>
      </patternFill>
    </fill>
    <fill>
      <patternFill patternType="solid">
        <fgColor rgb="FFEAF2FB"/>
        <bgColor rgb="FFF4F6F7"/>
      </patternFill>
    </fill>
    <fill>
      <patternFill patternType="solid">
        <fgColor rgb="FFFCF3CF"/>
        <bgColor rgb="FFFFF6CC"/>
      </patternFill>
    </fill>
    <fill>
      <patternFill patternType="solid">
        <fgColor rgb="FF2C3E50"/>
        <bgColor rgb="FF1B4F72"/>
      </patternFill>
    </fill>
  </fills>
  <borders count="2">
    <border>
      <left/>
      <right/>
      <top/>
      <bottom/>
      <diagonal/>
    </border>
    <border>
      <left style="thin">
        <color rgb="FFAAB7B8"/>
      </left>
      <right style="thin">
        <color rgb="FFAAB7B8"/>
      </right>
      <top style="thin">
        <color rgb="FFAAB7B8"/>
      </top>
      <bottom style="thin">
        <color rgb="FFAAB7B8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5" fillId="4" borderId="1" xfId="0" applyFont="1" applyFill="1" applyBorder="1" applyAlignment="1">
      <alignment horizontal="center" vertical="center" wrapText="1"/>
    </xf>
    <xf numFmtId="0" fontId="5" fillId="5" borderId="1" xfId="0" applyFont="1" applyFill="1" applyBorder="1" applyAlignment="1">
      <alignment horizontal="center" vertical="center" wrapText="1"/>
    </xf>
    <xf numFmtId="0" fontId="5" fillId="6" borderId="1" xfId="0" applyFont="1" applyFill="1" applyBorder="1" applyAlignment="1">
      <alignment horizontal="center" vertical="center" wrapText="1"/>
    </xf>
    <xf numFmtId="0" fontId="5" fillId="7" borderId="1" xfId="0" applyFont="1" applyFill="1" applyBorder="1" applyAlignment="1">
      <alignment horizontal="center" vertical="center" wrapText="1"/>
    </xf>
    <xf numFmtId="0" fontId="5" fillId="8" borderId="1" xfId="0" applyFont="1" applyFill="1" applyBorder="1" applyAlignment="1">
      <alignment horizontal="center" vertical="center" wrapText="1"/>
    </xf>
    <xf numFmtId="0" fontId="6" fillId="9" borderId="1" xfId="0" applyFont="1" applyFill="1" applyBorder="1" applyAlignment="1">
      <alignment horizontal="left" vertical="center" wrapText="1"/>
    </xf>
    <xf numFmtId="0" fontId="10" fillId="2" borderId="0" xfId="0" applyFont="1" applyFill="1" applyAlignment="1">
      <alignment horizontal="left" vertical="center" wrapText="1"/>
    </xf>
    <xf numFmtId="0" fontId="11" fillId="0" borderId="0" xfId="0" applyFont="1" applyAlignment="1">
      <alignment horizontal="left" vertical="center" wrapText="1"/>
    </xf>
    <xf numFmtId="0" fontId="12" fillId="0" borderId="0" xfId="0" applyFont="1" applyAlignment="1">
      <alignment horizontal="left" vertical="center" wrapText="1"/>
    </xf>
    <xf numFmtId="0" fontId="13" fillId="0" borderId="0" xfId="0" applyFont="1" applyAlignment="1">
      <alignment horizontal="left" vertical="center" wrapText="1"/>
    </xf>
    <xf numFmtId="0" fontId="14" fillId="12" borderId="0" xfId="0" applyFont="1" applyFill="1" applyAlignment="1">
      <alignment horizontal="left" vertical="center" wrapText="1"/>
    </xf>
    <xf numFmtId="0" fontId="15" fillId="0" borderId="0" xfId="0" applyFont="1" applyAlignment="1">
      <alignment horizontal="left" vertical="center" wrapText="1"/>
    </xf>
    <xf numFmtId="0" fontId="16" fillId="12" borderId="1" xfId="0" applyFont="1" applyFill="1" applyBorder="1" applyAlignment="1">
      <alignment horizontal="center" vertical="center" wrapText="1"/>
    </xf>
    <xf numFmtId="0" fontId="6" fillId="0" borderId="1" xfId="0" applyFont="1" applyBorder="1"/>
    <xf numFmtId="0" fontId="6" fillId="0" borderId="1" xfId="0" applyFont="1" applyBorder="1" applyAlignment="1">
      <alignment horizontal="center" vertical="center" wrapText="1"/>
    </xf>
    <xf numFmtId="0" fontId="7" fillId="10" borderId="1" xfId="0" applyFont="1" applyFill="1" applyBorder="1" applyAlignment="1">
      <alignment horizontal="center" vertical="center" wrapText="1"/>
    </xf>
    <xf numFmtId="0" fontId="9" fillId="0" borderId="0" xfId="0" applyFont="1" applyAlignment="1">
      <alignment horizontal="center" vertical="center" wrapText="1"/>
    </xf>
    <xf numFmtId="0" fontId="1" fillId="2" borderId="0" xfId="0" applyFont="1" applyFill="1" applyAlignment="1">
      <alignment horizontal="center" vertical="center" wrapText="1"/>
    </xf>
    <xf numFmtId="0" fontId="2" fillId="0" borderId="0" xfId="0" applyFont="1" applyAlignment="1">
      <alignment horizontal="right" vertical="center"/>
    </xf>
    <xf numFmtId="0" fontId="3" fillId="3" borderId="1" xfId="0" applyFont="1" applyFill="1" applyBorder="1" applyAlignment="1">
      <alignment horizontal="left" vertical="center" wrapText="1"/>
    </xf>
    <xf numFmtId="0" fontId="4" fillId="0" borderId="0" xfId="0" applyFont="1" applyAlignment="1">
      <alignment horizontal="right" vertical="center" wrapText="1"/>
    </xf>
    <xf numFmtId="0" fontId="8" fillId="11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62">
    <dxf>
      <fill>
        <patternFill>
          <bgColor rgb="FFF5CBA7"/>
        </patternFill>
      </fill>
    </dxf>
    <dxf>
      <fill>
        <patternFill>
          <bgColor rgb="FFC6EFCE"/>
        </patternFill>
      </fill>
    </dxf>
    <dxf>
      <fill>
        <patternFill>
          <bgColor rgb="FFF5CBA7"/>
        </patternFill>
      </fill>
    </dxf>
    <dxf>
      <fill>
        <patternFill>
          <bgColor rgb="FFC6EFCE"/>
        </patternFill>
      </fill>
    </dxf>
    <dxf>
      <fill>
        <patternFill>
          <bgColor rgb="FFF5CBA7"/>
        </patternFill>
      </fill>
    </dxf>
    <dxf>
      <fill>
        <patternFill>
          <bgColor rgb="FFC6EFCE"/>
        </patternFill>
      </fill>
    </dxf>
    <dxf>
      <fill>
        <patternFill>
          <bgColor rgb="FFF5CBA7"/>
        </patternFill>
      </fill>
    </dxf>
    <dxf>
      <fill>
        <patternFill>
          <bgColor rgb="FFC6EFCE"/>
        </patternFill>
      </fill>
    </dxf>
    <dxf>
      <fill>
        <patternFill>
          <bgColor rgb="FFF5CBA7"/>
        </patternFill>
      </fill>
    </dxf>
    <dxf>
      <fill>
        <patternFill>
          <bgColor rgb="FFC6EFCE"/>
        </patternFill>
      </fill>
    </dxf>
    <dxf>
      <fill>
        <patternFill>
          <bgColor rgb="FFF5CBA7"/>
        </patternFill>
      </fill>
    </dxf>
    <dxf>
      <fill>
        <patternFill>
          <bgColor rgb="FFC6EFCE"/>
        </patternFill>
      </fill>
    </dxf>
    <dxf>
      <fill>
        <patternFill>
          <bgColor rgb="FFF5CBA7"/>
        </patternFill>
      </fill>
    </dxf>
    <dxf>
      <fill>
        <patternFill>
          <bgColor rgb="FFC6EFCE"/>
        </patternFill>
      </fill>
    </dxf>
    <dxf>
      <fill>
        <patternFill>
          <bgColor rgb="FFF5CBA7"/>
        </patternFill>
      </fill>
    </dxf>
    <dxf>
      <fill>
        <patternFill>
          <bgColor rgb="FFC6EFCE"/>
        </patternFill>
      </fill>
    </dxf>
    <dxf>
      <fill>
        <patternFill>
          <bgColor rgb="FFF5CBA7"/>
        </patternFill>
      </fill>
    </dxf>
    <dxf>
      <fill>
        <patternFill>
          <bgColor rgb="FFC6EFCE"/>
        </patternFill>
      </fill>
    </dxf>
    <dxf>
      <fill>
        <patternFill>
          <bgColor rgb="FFF5CBA7"/>
        </patternFill>
      </fill>
    </dxf>
    <dxf>
      <fill>
        <patternFill>
          <bgColor rgb="FFC6EFCE"/>
        </patternFill>
      </fill>
    </dxf>
    <dxf>
      <fill>
        <patternFill>
          <bgColor rgb="FFF5CBA7"/>
        </patternFill>
      </fill>
    </dxf>
    <dxf>
      <fill>
        <patternFill>
          <bgColor rgb="FFC6EFCE"/>
        </patternFill>
      </fill>
    </dxf>
    <dxf>
      <fill>
        <patternFill>
          <bgColor rgb="FFF5CBA7"/>
        </patternFill>
      </fill>
    </dxf>
    <dxf>
      <fill>
        <patternFill>
          <bgColor rgb="FFC6EFCE"/>
        </patternFill>
      </fill>
    </dxf>
    <dxf>
      <fill>
        <patternFill>
          <bgColor rgb="FFF5CBA7"/>
        </patternFill>
      </fill>
    </dxf>
    <dxf>
      <fill>
        <patternFill>
          <bgColor rgb="FFC6EFCE"/>
        </patternFill>
      </fill>
    </dxf>
    <dxf>
      <fill>
        <patternFill>
          <bgColor rgb="FFC6EFCE"/>
        </patternFill>
      </fill>
    </dxf>
    <dxf>
      <fill>
        <patternFill>
          <bgColor rgb="FFF5CBA7"/>
        </patternFill>
      </fill>
    </dxf>
    <dxf>
      <fill>
        <patternFill>
          <bgColor rgb="FFF5CBA7"/>
        </patternFill>
      </fill>
    </dxf>
    <dxf>
      <fill>
        <patternFill>
          <bgColor rgb="FFC6EFCE"/>
        </patternFill>
      </fill>
    </dxf>
    <dxf>
      <fill>
        <patternFill>
          <bgColor rgb="FFC6EFCE"/>
        </patternFill>
      </fill>
    </dxf>
    <dxf>
      <fill>
        <patternFill>
          <bgColor rgb="FFF5CBA7"/>
        </patternFill>
      </fill>
    </dxf>
    <dxf>
      <fill>
        <patternFill>
          <bgColor rgb="FFF5CBA7"/>
        </patternFill>
      </fill>
    </dxf>
    <dxf>
      <fill>
        <patternFill>
          <bgColor rgb="FFC6EFCE"/>
        </patternFill>
      </fill>
    </dxf>
    <dxf>
      <fill>
        <patternFill>
          <bgColor rgb="FFF5CBA7"/>
        </patternFill>
      </fill>
    </dxf>
    <dxf>
      <fill>
        <patternFill>
          <bgColor rgb="FFC6EFCE"/>
        </patternFill>
      </fill>
    </dxf>
    <dxf>
      <fill>
        <patternFill>
          <bgColor rgb="FFF5CBA7"/>
        </patternFill>
      </fill>
    </dxf>
    <dxf>
      <fill>
        <patternFill>
          <bgColor rgb="FFC6EFCE"/>
        </patternFill>
      </fill>
    </dxf>
    <dxf>
      <fill>
        <patternFill>
          <bgColor rgb="FFF5CBA7"/>
        </patternFill>
      </fill>
    </dxf>
    <dxf>
      <fill>
        <patternFill>
          <bgColor rgb="FFC6EFCE"/>
        </patternFill>
      </fill>
    </dxf>
    <dxf>
      <fill>
        <patternFill>
          <bgColor rgb="FFF5CBA7"/>
        </patternFill>
      </fill>
    </dxf>
    <dxf>
      <fill>
        <patternFill>
          <bgColor rgb="FFC6EFCE"/>
        </patternFill>
      </fill>
    </dxf>
    <dxf>
      <fill>
        <patternFill>
          <bgColor rgb="FFF5CBA7"/>
        </patternFill>
      </fill>
    </dxf>
    <dxf>
      <fill>
        <patternFill>
          <bgColor rgb="FFC6EFCE"/>
        </patternFill>
      </fill>
    </dxf>
    <dxf>
      <fill>
        <patternFill>
          <bgColor rgb="FFF5CBA7"/>
        </patternFill>
      </fill>
    </dxf>
    <dxf>
      <fill>
        <patternFill>
          <bgColor rgb="FFC6EFCE"/>
        </patternFill>
      </fill>
    </dxf>
    <dxf>
      <fill>
        <patternFill>
          <bgColor rgb="FFF5CBA7"/>
        </patternFill>
      </fill>
    </dxf>
    <dxf>
      <fill>
        <patternFill>
          <bgColor rgb="FFC6EFCE"/>
        </patternFill>
      </fill>
    </dxf>
    <dxf>
      <fill>
        <patternFill>
          <bgColor rgb="FFF5CBA7"/>
        </patternFill>
      </fill>
    </dxf>
    <dxf>
      <fill>
        <patternFill>
          <bgColor rgb="FFC6EFCE"/>
        </patternFill>
      </fill>
    </dxf>
    <dxf>
      <fill>
        <patternFill>
          <bgColor rgb="FFF5CBA7"/>
        </patternFill>
      </fill>
    </dxf>
    <dxf>
      <fill>
        <patternFill>
          <bgColor rgb="FFC6EFCE"/>
        </patternFill>
      </fill>
    </dxf>
    <dxf>
      <fill>
        <patternFill>
          <bgColor rgb="FFF5CBA7"/>
        </patternFill>
      </fill>
    </dxf>
    <dxf>
      <fill>
        <patternFill>
          <bgColor rgb="FFC6EFCE"/>
        </patternFill>
      </fill>
    </dxf>
    <dxf>
      <fill>
        <patternFill>
          <bgColor rgb="FFF5CBA7"/>
        </patternFill>
      </fill>
    </dxf>
    <dxf>
      <fill>
        <patternFill>
          <bgColor rgb="FFC6EFCE"/>
        </patternFill>
      </fill>
    </dxf>
    <dxf>
      <fill>
        <patternFill>
          <bgColor rgb="FFF5CBA7"/>
        </patternFill>
      </fill>
    </dxf>
    <dxf>
      <fill>
        <patternFill>
          <bgColor rgb="FFC6EFCE"/>
        </patternFill>
      </fill>
    </dxf>
    <dxf>
      <fill>
        <patternFill>
          <bgColor rgb="FFF5CBA7"/>
        </patternFill>
      </fill>
    </dxf>
    <dxf>
      <fill>
        <patternFill>
          <bgColor rgb="FFC6EFCE"/>
        </patternFill>
      </fill>
    </dxf>
    <dxf>
      <fill>
        <patternFill>
          <bgColor rgb="FFF5CBA7"/>
        </patternFill>
      </fill>
    </dxf>
    <dxf>
      <fill>
        <patternFill>
          <bgColor rgb="FFC6EFCE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B9770E"/>
      <rgbColor rgb="FF800080"/>
      <rgbColor rgb="FF117A65"/>
      <rgbColor rgb="FFAAB7B8"/>
      <rgbColor rgb="FF808080"/>
      <rgbColor rgb="FF9999FF"/>
      <rgbColor rgb="FF993366"/>
      <rgbColor rgb="FFFFF6CC"/>
      <rgbColor rgb="FFEAF2FB"/>
      <rgbColor rgb="FF660066"/>
      <rgbColor rgb="FFFF8080"/>
      <rgbColor rgb="FF1A5276"/>
      <rgbColor rgb="FFCCCCFF"/>
      <rgbColor rgb="FF000080"/>
      <rgbColor rgb="FFFF00FF"/>
      <rgbColor rgb="FFFFFF00"/>
      <rgbColor rgb="FF00FFFF"/>
      <rgbColor rgb="FF800080"/>
      <rgbColor rgb="FF800000"/>
      <rgbColor rgb="FF1F6F8B"/>
      <rgbColor rgb="FF0000FF"/>
      <rgbColor rgb="FF00CCFF"/>
      <rgbColor rgb="FFF4F6F7"/>
      <rgbColor rgb="FFC6EFCE"/>
      <rgbColor rgb="FFFCF3CF"/>
      <rgbColor rgb="FF99CCFF"/>
      <rgbColor rgb="FFFF99CC"/>
      <rgbColor rgb="FFCC99FF"/>
      <rgbColor rgb="FFF5CBA7"/>
      <rgbColor rgb="FF3366FF"/>
      <rgbColor rgb="FF33CCCC"/>
      <rgbColor rgb="FF99CC00"/>
      <rgbColor rgb="FFFFCC00"/>
      <rgbColor rgb="FFFF9900"/>
      <rgbColor rgb="FFFF6600"/>
      <rgbColor rgb="FF566573"/>
      <rgbColor rgb="FF969696"/>
      <rgbColor rgb="FF0B1F3A"/>
      <rgbColor rgb="FF339966"/>
      <rgbColor rgb="FF003300"/>
      <rgbColor rgb="FF1C2833"/>
      <rgbColor rgb="FF922B21"/>
      <rgbColor rgb="FF993366"/>
      <rgbColor rgb="FF1B4F72"/>
      <rgbColor rgb="FF2C3E50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AY31"/>
  <sheetViews>
    <sheetView showGridLines="0" tabSelected="1" zoomScaleNormal="100" workbookViewId="0">
      <pane xSplit="1" ySplit="3" topLeftCell="B4" activePane="bottomRight" state="frozen"/>
      <selection pane="topRight" activeCell="B1" sqref="B1"/>
      <selection pane="bottomLeft" activeCell="A4" sqref="A4"/>
      <selection pane="bottomRight" activeCell="P28" sqref="P28"/>
    </sheetView>
  </sheetViews>
  <sheetFormatPr defaultColWidth="8.7109375" defaultRowHeight="15" x14ac:dyDescent="0.25"/>
  <cols>
    <col min="1" max="1" width="2" customWidth="1"/>
    <col min="2" max="2" width="20" customWidth="1"/>
    <col min="3" max="3" width="2" customWidth="1"/>
    <col min="4" max="4" width="18" customWidth="1"/>
    <col min="5" max="5" width="2" customWidth="1"/>
    <col min="6" max="6" width="17" customWidth="1"/>
    <col min="7" max="7" width="2" customWidth="1"/>
    <col min="8" max="8" width="16" customWidth="1"/>
    <col min="9" max="9" width="2" customWidth="1"/>
    <col min="10" max="10" width="16" customWidth="1"/>
    <col min="11" max="11" width="2" customWidth="1"/>
    <col min="12" max="12" width="18" customWidth="1"/>
    <col min="13" max="13" width="2" customWidth="1"/>
    <col min="14" max="14" width="16" customWidth="1"/>
    <col min="15" max="15" width="2" customWidth="1"/>
    <col min="16" max="16" width="16" customWidth="1"/>
    <col min="17" max="17" width="2" customWidth="1"/>
    <col min="18" max="18" width="17" customWidth="1"/>
    <col min="19" max="19" width="2" customWidth="1"/>
    <col min="20" max="20" width="18" customWidth="1"/>
    <col min="21" max="21" width="2" customWidth="1"/>
    <col min="22" max="22" width="20" customWidth="1"/>
    <col min="50" max="51" width="13" hidden="1" customWidth="1"/>
  </cols>
  <sheetData>
    <row r="1" spans="2:51" ht="30" customHeight="1" x14ac:dyDescent="0.25">
      <c r="B1" s="18" t="s">
        <v>0</v>
      </c>
      <c r="C1" s="18"/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8"/>
      <c r="T1" s="18"/>
      <c r="U1" s="18"/>
      <c r="V1" s="18"/>
      <c r="AX1" t="str">
        <f>B4</f>
        <v>Alemania</v>
      </c>
      <c r="AY1" t="str">
        <f>B5</f>
        <v>Paraguay</v>
      </c>
    </row>
    <row r="2" spans="2:51" ht="24" customHeight="1" x14ac:dyDescent="0.25">
      <c r="B2" s="19" t="s">
        <v>1</v>
      </c>
      <c r="C2" s="19"/>
      <c r="D2" s="20" t="s">
        <v>69</v>
      </c>
      <c r="E2" s="20"/>
      <c r="F2" s="20"/>
      <c r="G2" s="20"/>
      <c r="H2" s="20"/>
      <c r="J2" s="21" t="s">
        <v>2</v>
      </c>
      <c r="K2" s="21"/>
      <c r="L2" s="21"/>
      <c r="M2" s="21"/>
      <c r="N2" s="21"/>
      <c r="O2" s="21"/>
      <c r="P2" s="21"/>
      <c r="Q2" s="21"/>
      <c r="R2" s="21"/>
      <c r="S2" s="21"/>
      <c r="T2" s="21"/>
      <c r="U2" s="21"/>
      <c r="V2" s="21"/>
      <c r="AX2" t="str">
        <f>B6</f>
        <v>Francia</v>
      </c>
      <c r="AY2" t="str">
        <f>B7</f>
        <v>Suecia</v>
      </c>
    </row>
    <row r="3" spans="2:51" ht="18" customHeight="1" x14ac:dyDescent="0.25">
      <c r="B3" s="1" t="s">
        <v>3</v>
      </c>
      <c r="D3" s="2" t="s">
        <v>4</v>
      </c>
      <c r="F3" s="3" t="s">
        <v>5</v>
      </c>
      <c r="H3" s="4" t="s">
        <v>6</v>
      </c>
      <c r="J3" s="5" t="s">
        <v>7</v>
      </c>
      <c r="L3" s="5" t="s">
        <v>8</v>
      </c>
      <c r="N3" s="5" t="s">
        <v>7</v>
      </c>
      <c r="P3" s="4" t="s">
        <v>6</v>
      </c>
      <c r="R3" s="3" t="s">
        <v>5</v>
      </c>
      <c r="T3" s="2" t="s">
        <v>4</v>
      </c>
      <c r="V3" s="1" t="s">
        <v>3</v>
      </c>
      <c r="AX3" t="str">
        <f>B8</f>
        <v>Sudafrica</v>
      </c>
      <c r="AY3" t="str">
        <f>B9</f>
        <v>Canada</v>
      </c>
    </row>
    <row r="4" spans="2:51" ht="19.5" customHeight="1" x14ac:dyDescent="0.25">
      <c r="B4" s="6" t="s">
        <v>9</v>
      </c>
      <c r="D4" s="16" t="s">
        <v>9</v>
      </c>
      <c r="F4" s="16" t="s">
        <v>9</v>
      </c>
      <c r="H4" s="16" t="s">
        <v>9</v>
      </c>
      <c r="J4" s="16" t="s">
        <v>24</v>
      </c>
      <c r="N4" s="16" t="s">
        <v>67</v>
      </c>
      <c r="P4" s="16" t="s">
        <v>18</v>
      </c>
      <c r="R4" s="16" t="s">
        <v>18</v>
      </c>
      <c r="T4" s="16" t="s">
        <v>18</v>
      </c>
      <c r="V4" s="6" t="s">
        <v>18</v>
      </c>
      <c r="AX4" t="str">
        <f>B10</f>
        <v>Paises Bajos</v>
      </c>
      <c r="AY4" t="str">
        <f>B11</f>
        <v>Marruecos</v>
      </c>
    </row>
    <row r="5" spans="2:51" ht="19.5" customHeight="1" x14ac:dyDescent="0.25">
      <c r="B5" s="6" t="s">
        <v>10</v>
      </c>
      <c r="D5" s="16"/>
      <c r="F5" s="16"/>
      <c r="H5" s="16"/>
      <c r="J5" s="16"/>
      <c r="N5" s="16"/>
      <c r="P5" s="16"/>
      <c r="R5" s="16"/>
      <c r="T5" s="16"/>
      <c r="V5" s="6" t="s">
        <v>63</v>
      </c>
      <c r="AX5" t="str">
        <f>B12</f>
        <v>Portugal</v>
      </c>
      <c r="AY5" t="str">
        <f>B13</f>
        <v>Croacia</v>
      </c>
    </row>
    <row r="6" spans="2:51" ht="19.5" customHeight="1" x14ac:dyDescent="0.25">
      <c r="B6" s="6" t="s">
        <v>12</v>
      </c>
      <c r="D6" s="16" t="s">
        <v>12</v>
      </c>
      <c r="F6" s="16"/>
      <c r="H6" s="16"/>
      <c r="J6" s="16"/>
      <c r="N6" s="16"/>
      <c r="P6" s="16"/>
      <c r="R6" s="16"/>
      <c r="T6" s="16" t="s">
        <v>15</v>
      </c>
      <c r="V6" s="6" t="s">
        <v>13</v>
      </c>
      <c r="AX6" t="str">
        <f>B14</f>
        <v>España</v>
      </c>
      <c r="AY6" t="str">
        <f>B15</f>
        <v>Austria</v>
      </c>
    </row>
    <row r="7" spans="2:51" ht="19.5" customHeight="1" x14ac:dyDescent="0.25">
      <c r="B7" s="6" t="s">
        <v>14</v>
      </c>
      <c r="D7" s="16"/>
      <c r="F7" s="16"/>
      <c r="H7" s="16"/>
      <c r="J7" s="16"/>
      <c r="N7" s="16"/>
      <c r="P7" s="16"/>
      <c r="R7" s="16"/>
      <c r="T7" s="16"/>
      <c r="V7" s="6" t="s">
        <v>15</v>
      </c>
      <c r="AX7" t="str">
        <f>B16</f>
        <v>Estados Unidos</v>
      </c>
      <c r="AY7" t="str">
        <f>B17</f>
        <v>Bosnia</v>
      </c>
    </row>
    <row r="8" spans="2:51" ht="19.5" customHeight="1" x14ac:dyDescent="0.25">
      <c r="B8" s="6" t="s">
        <v>64</v>
      </c>
      <c r="D8" s="16" t="s">
        <v>61</v>
      </c>
      <c r="F8" s="16" t="s">
        <v>11</v>
      </c>
      <c r="H8" s="16"/>
      <c r="J8" s="16"/>
      <c r="N8" s="16"/>
      <c r="P8" s="16"/>
      <c r="R8" s="16" t="s">
        <v>16</v>
      </c>
      <c r="T8" s="16" t="s">
        <v>16</v>
      </c>
      <c r="V8" s="6" t="s">
        <v>16</v>
      </c>
      <c r="AX8" t="str">
        <f>B18</f>
        <v>Belgica</v>
      </c>
      <c r="AY8" t="str">
        <f>B19</f>
        <v>Senegal</v>
      </c>
    </row>
    <row r="9" spans="2:51" ht="19.5" customHeight="1" x14ac:dyDescent="0.25">
      <c r="B9" s="6" t="s">
        <v>61</v>
      </c>
      <c r="D9" s="16"/>
      <c r="F9" s="16"/>
      <c r="H9" s="16"/>
      <c r="J9" s="16"/>
      <c r="L9" s="22" t="s">
        <v>24</v>
      </c>
      <c r="N9" s="16"/>
      <c r="P9" s="16"/>
      <c r="R9" s="16"/>
      <c r="T9" s="16"/>
      <c r="V9" s="6" t="s">
        <v>17</v>
      </c>
      <c r="AX9" t="str">
        <f>D4</f>
        <v>Alemania</v>
      </c>
      <c r="AY9" t="str">
        <f>D6</f>
        <v>Francia</v>
      </c>
    </row>
    <row r="10" spans="2:51" ht="19.5" customHeight="1" x14ac:dyDescent="0.25">
      <c r="B10" s="6" t="s">
        <v>62</v>
      </c>
      <c r="D10" s="16" t="s">
        <v>11</v>
      </c>
      <c r="F10" s="16"/>
      <c r="H10" s="16"/>
      <c r="J10" s="16"/>
      <c r="L10" s="22"/>
      <c r="N10" s="16"/>
      <c r="P10" s="16"/>
      <c r="R10" s="16"/>
      <c r="T10" s="16" t="s">
        <v>19</v>
      </c>
      <c r="V10" s="6" t="s">
        <v>19</v>
      </c>
      <c r="AX10" t="str">
        <f>D8</f>
        <v>Canada</v>
      </c>
      <c r="AY10" t="str">
        <f>D10</f>
        <v>Marruecos</v>
      </c>
    </row>
    <row r="11" spans="2:51" ht="19.5" customHeight="1" x14ac:dyDescent="0.25">
      <c r="B11" s="6" t="s">
        <v>11</v>
      </c>
      <c r="D11" s="16"/>
      <c r="F11" s="16"/>
      <c r="H11" s="16"/>
      <c r="J11" s="16"/>
      <c r="L11" s="22"/>
      <c r="N11" s="16"/>
      <c r="P11" s="16"/>
      <c r="R11" s="16"/>
      <c r="T11" s="16"/>
      <c r="V11" s="6" t="s">
        <v>20</v>
      </c>
      <c r="AX11" t="str">
        <f>D12</f>
        <v>Croacia</v>
      </c>
      <c r="AY11" t="str">
        <f>D14</f>
        <v>España</v>
      </c>
    </row>
    <row r="12" spans="2:51" ht="19.5" customHeight="1" x14ac:dyDescent="0.25">
      <c r="B12" s="6" t="s">
        <v>21</v>
      </c>
      <c r="D12" s="16" t="s">
        <v>22</v>
      </c>
      <c r="F12" s="16" t="s">
        <v>24</v>
      </c>
      <c r="H12" s="16" t="s">
        <v>24</v>
      </c>
      <c r="J12" s="16"/>
      <c r="L12" s="22"/>
      <c r="N12" s="16"/>
      <c r="P12" s="16" t="s">
        <v>67</v>
      </c>
      <c r="R12" s="16" t="s">
        <v>67</v>
      </c>
      <c r="T12" s="16" t="s">
        <v>67</v>
      </c>
      <c r="V12" s="6" t="s">
        <v>67</v>
      </c>
      <c r="AX12" t="str">
        <f>D16</f>
        <v>Estados Unidos</v>
      </c>
      <c r="AY12" t="str">
        <f>D18</f>
        <v>Senegal</v>
      </c>
    </row>
    <row r="13" spans="2:51" ht="19.5" customHeight="1" x14ac:dyDescent="0.25">
      <c r="B13" s="6" t="s">
        <v>22</v>
      </c>
      <c r="D13" s="16"/>
      <c r="F13" s="16"/>
      <c r="H13" s="16"/>
      <c r="J13" s="16"/>
      <c r="L13" s="22"/>
      <c r="N13" s="16"/>
      <c r="P13" s="16"/>
      <c r="R13" s="16"/>
      <c r="T13" s="16"/>
      <c r="V13" s="6" t="s">
        <v>23</v>
      </c>
      <c r="AX13" t="str">
        <f>F4</f>
        <v>Alemania</v>
      </c>
      <c r="AY13" t="str">
        <f>F8</f>
        <v>Marruecos</v>
      </c>
    </row>
    <row r="14" spans="2:51" ht="19.5" customHeight="1" x14ac:dyDescent="0.25">
      <c r="B14" s="6" t="s">
        <v>24</v>
      </c>
      <c r="D14" s="16" t="s">
        <v>24</v>
      </c>
      <c r="F14" s="16"/>
      <c r="H14" s="16"/>
      <c r="J14" s="16"/>
      <c r="L14" s="22"/>
      <c r="N14" s="16"/>
      <c r="P14" s="16"/>
      <c r="R14" s="16"/>
      <c r="T14" s="16" t="s">
        <v>28</v>
      </c>
      <c r="V14" s="6" t="s">
        <v>25</v>
      </c>
      <c r="AX14" t="str">
        <f>F12</f>
        <v>España</v>
      </c>
      <c r="AY14" t="str">
        <f>F16</f>
        <v>Estados Unidos</v>
      </c>
    </row>
    <row r="15" spans="2:51" ht="19.5" customHeight="1" x14ac:dyDescent="0.25">
      <c r="B15" s="6" t="s">
        <v>26</v>
      </c>
      <c r="D15" s="16"/>
      <c r="F15" s="16"/>
      <c r="H15" s="16"/>
      <c r="J15" s="16"/>
      <c r="L15" s="17" t="s">
        <v>27</v>
      </c>
      <c r="N15" s="16"/>
      <c r="P15" s="16"/>
      <c r="R15" s="16"/>
      <c r="T15" s="16"/>
      <c r="V15" s="6" t="s">
        <v>28</v>
      </c>
      <c r="AX15" t="str">
        <f>H4</f>
        <v>Alemania</v>
      </c>
      <c r="AY15" t="str">
        <f>H12</f>
        <v>España</v>
      </c>
    </row>
    <row r="16" spans="2:51" ht="19.5" customHeight="1" x14ac:dyDescent="0.25">
      <c r="B16" s="6" t="s">
        <v>29</v>
      </c>
      <c r="D16" s="16" t="s">
        <v>29</v>
      </c>
      <c r="F16" s="16" t="s">
        <v>29</v>
      </c>
      <c r="H16" s="16"/>
      <c r="J16" s="16"/>
      <c r="L16" s="17"/>
      <c r="N16" s="16"/>
      <c r="P16" s="16"/>
      <c r="R16" s="16" t="s">
        <v>31</v>
      </c>
      <c r="T16" s="16" t="s">
        <v>30</v>
      </c>
      <c r="V16" s="6" t="s">
        <v>30</v>
      </c>
      <c r="AX16" t="str">
        <f>V4</f>
        <v>Brasil</v>
      </c>
      <c r="AY16" t="str">
        <f>V5</f>
        <v>Japon</v>
      </c>
    </row>
    <row r="17" spans="2:51" ht="19.5" customHeight="1" x14ac:dyDescent="0.25">
      <c r="B17" s="6" t="s">
        <v>65</v>
      </c>
      <c r="D17" s="16"/>
      <c r="F17" s="16"/>
      <c r="H17" s="16"/>
      <c r="J17" s="16"/>
      <c r="N17" s="16"/>
      <c r="P17" s="16"/>
      <c r="R17" s="16"/>
      <c r="T17" s="16"/>
      <c r="V17" s="6" t="s">
        <v>68</v>
      </c>
      <c r="AX17" t="str">
        <f>V6</f>
        <v>Costa de Marfil</v>
      </c>
      <c r="AY17" t="str">
        <f>V7</f>
        <v>Noruega</v>
      </c>
    </row>
    <row r="18" spans="2:51" ht="19.5" customHeight="1" x14ac:dyDescent="0.25">
      <c r="B18" s="6" t="s">
        <v>66</v>
      </c>
      <c r="D18" s="16" t="s">
        <v>32</v>
      </c>
      <c r="F18" s="16"/>
      <c r="H18" s="16"/>
      <c r="J18" s="16"/>
      <c r="N18" s="16"/>
      <c r="P18" s="16"/>
      <c r="R18" s="16"/>
      <c r="T18" s="16" t="s">
        <v>31</v>
      </c>
      <c r="V18" s="6" t="s">
        <v>31</v>
      </c>
      <c r="AX18" t="str">
        <f>V8</f>
        <v>México</v>
      </c>
      <c r="AY18" t="str">
        <f>V9</f>
        <v>Ecuador</v>
      </c>
    </row>
    <row r="19" spans="2:51" ht="19.5" customHeight="1" x14ac:dyDescent="0.25">
      <c r="B19" s="6" t="s">
        <v>32</v>
      </c>
      <c r="D19" s="16"/>
      <c r="F19" s="16"/>
      <c r="H19" s="16"/>
      <c r="J19" s="16"/>
      <c r="N19" s="16"/>
      <c r="P19" s="16"/>
      <c r="R19" s="16"/>
      <c r="T19" s="16"/>
      <c r="V19" s="6" t="s">
        <v>33</v>
      </c>
      <c r="AX19" t="str">
        <f>V10</f>
        <v>Inglaterra</v>
      </c>
      <c r="AY19" t="str">
        <f>V11</f>
        <v>RD Congo</v>
      </c>
    </row>
    <row r="20" spans="2:51" x14ac:dyDescent="0.25">
      <c r="AX20" t="str">
        <f>V12</f>
        <v>Argenina</v>
      </c>
      <c r="AY20" t="str">
        <f>V13</f>
        <v>Cabo Verde</v>
      </c>
    </row>
    <row r="21" spans="2:51" x14ac:dyDescent="0.25">
      <c r="AX21" t="str">
        <f>V14</f>
        <v>Australia</v>
      </c>
      <c r="AY21" t="str">
        <f>V15</f>
        <v>Egipto</v>
      </c>
    </row>
    <row r="22" spans="2:51" x14ac:dyDescent="0.25">
      <c r="AX22" t="str">
        <f>V16</f>
        <v>Suiza</v>
      </c>
      <c r="AY22" t="str">
        <f>V17</f>
        <v>Algeria</v>
      </c>
    </row>
    <row r="23" spans="2:51" x14ac:dyDescent="0.25">
      <c r="AX23" t="str">
        <f>V18</f>
        <v>Colombia</v>
      </c>
      <c r="AY23" t="str">
        <f>V19</f>
        <v>Ghana</v>
      </c>
    </row>
    <row r="24" spans="2:51" x14ac:dyDescent="0.25">
      <c r="AX24" t="str">
        <f>T4</f>
        <v>Brasil</v>
      </c>
      <c r="AY24" t="str">
        <f>T6</f>
        <v>Noruega</v>
      </c>
    </row>
    <row r="25" spans="2:51" x14ac:dyDescent="0.25">
      <c r="AX25" t="str">
        <f>T8</f>
        <v>México</v>
      </c>
      <c r="AY25" t="str">
        <f>T10</f>
        <v>Inglaterra</v>
      </c>
    </row>
    <row r="26" spans="2:51" x14ac:dyDescent="0.25">
      <c r="AX26" t="str">
        <f>T12</f>
        <v>Argenina</v>
      </c>
      <c r="AY26" t="str">
        <f>T14</f>
        <v>Egipto</v>
      </c>
    </row>
    <row r="27" spans="2:51" x14ac:dyDescent="0.25">
      <c r="AX27" t="str">
        <f>T16</f>
        <v>Suiza</v>
      </c>
      <c r="AY27" t="str">
        <f>T18</f>
        <v>Colombia</v>
      </c>
    </row>
    <row r="28" spans="2:51" x14ac:dyDescent="0.25">
      <c r="AX28" t="str">
        <f>R4</f>
        <v>Brasil</v>
      </c>
      <c r="AY28" t="str">
        <f>R8</f>
        <v>México</v>
      </c>
    </row>
    <row r="29" spans="2:51" x14ac:dyDescent="0.25">
      <c r="AX29" t="str">
        <f>R12</f>
        <v>Argenina</v>
      </c>
      <c r="AY29" t="str">
        <f>R16</f>
        <v>Colombia</v>
      </c>
    </row>
    <row r="30" spans="2:51" x14ac:dyDescent="0.25">
      <c r="AX30" t="str">
        <f>P4</f>
        <v>Brasil</v>
      </c>
      <c r="AY30" t="str">
        <f>P12</f>
        <v>Argenina</v>
      </c>
    </row>
    <row r="31" spans="2:51" x14ac:dyDescent="0.25">
      <c r="AX31" t="str">
        <f>J4</f>
        <v>España</v>
      </c>
      <c r="AY31" t="str">
        <f>N4</f>
        <v>Argenina</v>
      </c>
    </row>
  </sheetData>
  <mergeCells count="36">
    <mergeCell ref="P12:P19"/>
    <mergeCell ref="R12:R15"/>
    <mergeCell ref="T12:T13"/>
    <mergeCell ref="D14:D15"/>
    <mergeCell ref="B1:V1"/>
    <mergeCell ref="B2:C2"/>
    <mergeCell ref="D2:H2"/>
    <mergeCell ref="J2:V2"/>
    <mergeCell ref="D4:D5"/>
    <mergeCell ref="F4:F7"/>
    <mergeCell ref="H4:H11"/>
    <mergeCell ref="J4:J19"/>
    <mergeCell ref="N4:N19"/>
    <mergeCell ref="P4:P11"/>
    <mergeCell ref="R4:R7"/>
    <mergeCell ref="T4:T5"/>
    <mergeCell ref="R16:R19"/>
    <mergeCell ref="T16:T17"/>
    <mergeCell ref="D18:D19"/>
    <mergeCell ref="T18:T19"/>
    <mergeCell ref="D6:D7"/>
    <mergeCell ref="T6:T7"/>
    <mergeCell ref="D8:D9"/>
    <mergeCell ref="F8:F11"/>
    <mergeCell ref="T14:T15"/>
    <mergeCell ref="L15:L16"/>
    <mergeCell ref="D16:D17"/>
    <mergeCell ref="F16:F19"/>
    <mergeCell ref="R8:R11"/>
    <mergeCell ref="T8:T9"/>
    <mergeCell ref="L9:L14"/>
    <mergeCell ref="D10:D11"/>
    <mergeCell ref="T10:T11"/>
    <mergeCell ref="D12:D13"/>
    <mergeCell ref="F12:F15"/>
    <mergeCell ref="H12:H19"/>
  </mergeCells>
  <conditionalFormatting sqref="D4">
    <cfRule type="expression" dxfId="61" priority="2">
      <formula>AND(D4&lt;&gt;"",OR(D4=$AX$1,D4=$AY$1))</formula>
    </cfRule>
    <cfRule type="expression" dxfId="60" priority="3">
      <formula>AND(D4&lt;&gt;"",D4&lt;&gt;$AX$1,D4&lt;&gt;$AY$1)</formula>
    </cfRule>
  </conditionalFormatting>
  <conditionalFormatting sqref="D6">
    <cfRule type="expression" dxfId="59" priority="4">
      <formula>AND(D6&lt;&gt;"",OR(D6=$AX$2,D6=$AY$2))</formula>
    </cfRule>
    <cfRule type="expression" dxfId="58" priority="5">
      <formula>AND(D6&lt;&gt;"",D6&lt;&gt;$AX$2,D6&lt;&gt;$AY$2)</formula>
    </cfRule>
  </conditionalFormatting>
  <conditionalFormatting sqref="D8">
    <cfRule type="expression" dxfId="57" priority="6">
      <formula>AND(D8&lt;&gt;"",OR(D8=$AX$3,D8=$AY$3))</formula>
    </cfRule>
    <cfRule type="expression" dxfId="56" priority="7">
      <formula>AND(D8&lt;&gt;"",D8&lt;&gt;$AX$3,D8&lt;&gt;$AY$3)</formula>
    </cfRule>
  </conditionalFormatting>
  <conditionalFormatting sqref="D10">
    <cfRule type="expression" dxfId="55" priority="8">
      <formula>AND(D10&lt;&gt;"",OR(D10=$AX$4,D10=$AY$4))</formula>
    </cfRule>
    <cfRule type="expression" dxfId="54" priority="9">
      <formula>AND(D10&lt;&gt;"",D10&lt;&gt;$AX$4,D10&lt;&gt;$AY$4)</formula>
    </cfRule>
  </conditionalFormatting>
  <conditionalFormatting sqref="D12">
    <cfRule type="expression" dxfId="53" priority="10">
      <formula>AND(D12&lt;&gt;"",OR(D12=$AX$5,D12=$AY$5))</formula>
    </cfRule>
    <cfRule type="expression" dxfId="52" priority="11">
      <formula>AND(D12&lt;&gt;"",D12&lt;&gt;$AX$5,D12&lt;&gt;$AY$5)</formula>
    </cfRule>
  </conditionalFormatting>
  <conditionalFormatting sqref="D14">
    <cfRule type="expression" dxfId="51" priority="12">
      <formula>AND(D14&lt;&gt;"",OR(D14=$AX$6,D14=$AY$6))</formula>
    </cfRule>
    <cfRule type="expression" dxfId="50" priority="13">
      <formula>AND(D14&lt;&gt;"",D14&lt;&gt;$AX$6,D14&lt;&gt;$AY$6)</formula>
    </cfRule>
  </conditionalFormatting>
  <conditionalFormatting sqref="D16">
    <cfRule type="expression" dxfId="49" priority="14">
      <formula>AND(D16&lt;&gt;"",OR(D16=$AX$7,D16=$AY$7))</formula>
    </cfRule>
    <cfRule type="expression" dxfId="48" priority="15">
      <formula>AND(D16&lt;&gt;"",D16&lt;&gt;$AX$7,D16&lt;&gt;$AY$7)</formula>
    </cfRule>
  </conditionalFormatting>
  <conditionalFormatting sqref="D18">
    <cfRule type="expression" dxfId="47" priority="16">
      <formula>AND(D18&lt;&gt;"",OR(D18=$AX$8,D18=$AY$8))</formula>
    </cfRule>
    <cfRule type="expression" dxfId="46" priority="17">
      <formula>AND(D18&lt;&gt;"",D18&lt;&gt;$AX$8,D18&lt;&gt;$AY$8)</formula>
    </cfRule>
  </conditionalFormatting>
  <conditionalFormatting sqref="F4">
    <cfRule type="expression" dxfId="45" priority="18">
      <formula>AND(F4&lt;&gt;"",OR(F4=$AX$9,F4=$AY$9))</formula>
    </cfRule>
    <cfRule type="expression" dxfId="44" priority="19">
      <formula>AND(F4&lt;&gt;"",F4&lt;&gt;$AX$9,F4&lt;&gt;$AY$9)</formula>
    </cfRule>
  </conditionalFormatting>
  <conditionalFormatting sqref="F8">
    <cfRule type="expression" dxfId="43" priority="20">
      <formula>AND(F8&lt;&gt;"",OR(F8=$AX$10,F8=$AY$10))</formula>
    </cfRule>
    <cfRule type="expression" dxfId="42" priority="21">
      <formula>AND(F8&lt;&gt;"",F8&lt;&gt;$AX$10,F8&lt;&gt;$AY$10)</formula>
    </cfRule>
  </conditionalFormatting>
  <conditionalFormatting sqref="F12">
    <cfRule type="expression" dxfId="41" priority="22">
      <formula>AND(F12&lt;&gt;"",OR(F12=$AX$11,F12=$AY$11))</formula>
    </cfRule>
    <cfRule type="expression" dxfId="40" priority="23">
      <formula>AND(F12&lt;&gt;"",F12&lt;&gt;$AX$11,F12&lt;&gt;$AY$11)</formula>
    </cfRule>
  </conditionalFormatting>
  <conditionalFormatting sqref="F16">
    <cfRule type="expression" dxfId="39" priority="24">
      <formula>AND(F16&lt;&gt;"",OR(F16=$AX$12,F16=$AY$12))</formula>
    </cfRule>
    <cfRule type="expression" dxfId="38" priority="25">
      <formula>AND(F16&lt;&gt;"",F16&lt;&gt;$AX$12,F16&lt;&gt;$AY$12)</formula>
    </cfRule>
  </conditionalFormatting>
  <conditionalFormatting sqref="H4">
    <cfRule type="expression" dxfId="37" priority="26">
      <formula>AND(H4&lt;&gt;"",OR(H4=$AX$13,H4=$AY$13))</formula>
    </cfRule>
    <cfRule type="expression" dxfId="36" priority="27">
      <formula>AND(H4&lt;&gt;"",H4&lt;&gt;$AX$13,H4&lt;&gt;$AY$13)</formula>
    </cfRule>
  </conditionalFormatting>
  <conditionalFormatting sqref="H12">
    <cfRule type="expression" dxfId="35" priority="28">
      <formula>AND(H12&lt;&gt;"",OR(H12=$AX$14,H12=$AY$14))</formula>
    </cfRule>
    <cfRule type="expression" dxfId="34" priority="29">
      <formula>AND(H12&lt;&gt;"",H12&lt;&gt;$AX$14,H12&lt;&gt;$AY$14)</formula>
    </cfRule>
  </conditionalFormatting>
  <conditionalFormatting sqref="J4">
    <cfRule type="expression" dxfId="33" priority="30">
      <formula>AND(J4&lt;&gt;"",OR(J4=$AX$15,J4=$AY$15))</formula>
    </cfRule>
    <cfRule type="expression" dxfId="32" priority="31">
      <formula>AND(J4&lt;&gt;"",J4&lt;&gt;$AX$15,J4&lt;&gt;$AY$15)</formula>
    </cfRule>
  </conditionalFormatting>
  <conditionalFormatting sqref="L9">
    <cfRule type="expression" dxfId="31" priority="63">
      <formula>AND(L9&lt;&gt;"",L9&lt;&gt;$AX$31,L9&lt;&gt;$AY$31)</formula>
    </cfRule>
    <cfRule type="expression" dxfId="30" priority="62">
      <formula>AND(L9&lt;&gt;"",OR(L9=$AX$31,L9=$AY$31))</formula>
    </cfRule>
  </conditionalFormatting>
  <conditionalFormatting sqref="N4">
    <cfRule type="expression" dxfId="29" priority="60">
      <formula>AND(N4&lt;&gt;"",OR(N4=$AX$30,N4=$AY$30))</formula>
    </cfRule>
    <cfRule type="expression" dxfId="28" priority="61">
      <formula>AND(N4&lt;&gt;"",N4&lt;&gt;$AX$30,N4&lt;&gt;$AY$30)</formula>
    </cfRule>
  </conditionalFormatting>
  <conditionalFormatting sqref="P4">
    <cfRule type="expression" dxfId="27" priority="57">
      <formula>AND(P4&lt;&gt;"",P4&lt;&gt;$AX$28,P4&lt;&gt;$AY$28)</formula>
    </cfRule>
    <cfRule type="expression" dxfId="26" priority="56">
      <formula>AND(P4&lt;&gt;"",OR(P4=$AX$28,P4=$AY$28))</formula>
    </cfRule>
  </conditionalFormatting>
  <conditionalFormatting sqref="P12">
    <cfRule type="expression" dxfId="25" priority="58">
      <formula>AND(P12&lt;&gt;"",OR(P12=$AX$29,P12=$AY$29))</formula>
    </cfRule>
    <cfRule type="expression" dxfId="24" priority="59">
      <formula>AND(P12&lt;&gt;"",P12&lt;&gt;$AX$29,P12&lt;&gt;$AY$29)</formula>
    </cfRule>
  </conditionalFormatting>
  <conditionalFormatting sqref="R4">
    <cfRule type="expression" dxfId="23" priority="48">
      <formula>AND(R4&lt;&gt;"",OR(R4=$AX$24,R4=$AY$24))</formula>
    </cfRule>
    <cfRule type="expression" dxfId="22" priority="49">
      <formula>AND(R4&lt;&gt;"",R4&lt;&gt;$AX$24,R4&lt;&gt;$AY$24)</formula>
    </cfRule>
  </conditionalFormatting>
  <conditionalFormatting sqref="R8">
    <cfRule type="expression" dxfId="21" priority="50">
      <formula>AND(R8&lt;&gt;"",OR(R8=$AX$25,R8=$AY$25))</formula>
    </cfRule>
    <cfRule type="expression" dxfId="20" priority="51">
      <formula>AND(R8&lt;&gt;"",R8&lt;&gt;$AX$25,R8&lt;&gt;$AY$25)</formula>
    </cfRule>
  </conditionalFormatting>
  <conditionalFormatting sqref="R12">
    <cfRule type="expression" dxfId="19" priority="52">
      <formula>AND(R12&lt;&gt;"",OR(R12=$AX$26,R12=$AY$26))</formula>
    </cfRule>
    <cfRule type="expression" dxfId="18" priority="53">
      <formula>AND(R12&lt;&gt;"",R12&lt;&gt;$AX$26,R12&lt;&gt;$AY$26)</formula>
    </cfRule>
  </conditionalFormatting>
  <conditionalFormatting sqref="R16">
    <cfRule type="expression" dxfId="17" priority="54">
      <formula>AND(R16&lt;&gt;"",OR(R16=$AX$27,R16=$AY$27))</formula>
    </cfRule>
    <cfRule type="expression" dxfId="16" priority="55">
      <formula>AND(R16&lt;&gt;"",R16&lt;&gt;$AX$27,R16&lt;&gt;$AY$27)</formula>
    </cfRule>
  </conditionalFormatting>
  <conditionalFormatting sqref="T4">
    <cfRule type="expression" dxfId="15" priority="32">
      <formula>AND(T4&lt;&gt;"",OR(T4=$AX$16,T4=$AY$16))</formula>
    </cfRule>
    <cfRule type="expression" dxfId="14" priority="33">
      <formula>AND(T4&lt;&gt;"",T4&lt;&gt;$AX$16,T4&lt;&gt;$AY$16)</formula>
    </cfRule>
  </conditionalFormatting>
  <conditionalFormatting sqref="T6">
    <cfRule type="expression" dxfId="13" priority="34">
      <formula>AND(T6&lt;&gt;"",OR(T6=$AX$17,T6=$AY$17))</formula>
    </cfRule>
    <cfRule type="expression" dxfId="12" priority="35">
      <formula>AND(T6&lt;&gt;"",T6&lt;&gt;$AX$17,T6&lt;&gt;$AY$17)</formula>
    </cfRule>
  </conditionalFormatting>
  <conditionalFormatting sqref="T8">
    <cfRule type="expression" dxfId="11" priority="36">
      <formula>AND(T8&lt;&gt;"",OR(T8=$AX$18,T8=$AY$18))</formula>
    </cfRule>
    <cfRule type="expression" dxfId="10" priority="37">
      <formula>AND(T8&lt;&gt;"",T8&lt;&gt;$AX$18,T8&lt;&gt;$AY$18)</formula>
    </cfRule>
  </conditionalFormatting>
  <conditionalFormatting sqref="T10">
    <cfRule type="expression" dxfId="9" priority="38">
      <formula>AND(T10&lt;&gt;"",OR(T10=$AX$19,T10=$AY$19))</formula>
    </cfRule>
    <cfRule type="expression" dxfId="8" priority="39">
      <formula>AND(T10&lt;&gt;"",T10&lt;&gt;$AX$19,T10&lt;&gt;$AY$19)</formula>
    </cfRule>
  </conditionalFormatting>
  <conditionalFormatting sqref="T12">
    <cfRule type="expression" dxfId="7" priority="40">
      <formula>AND(T12&lt;&gt;"",OR(T12=$AX$20,T12=$AY$20))</formula>
    </cfRule>
    <cfRule type="expression" dxfId="6" priority="41">
      <formula>AND(T12&lt;&gt;"",T12&lt;&gt;$AX$20,T12&lt;&gt;$AY$20)</formula>
    </cfRule>
  </conditionalFormatting>
  <conditionalFormatting sqref="T14">
    <cfRule type="expression" dxfId="5" priority="42">
      <formula>AND(T14&lt;&gt;"",OR(T14=$AX$21,T14=$AY$21))</formula>
    </cfRule>
    <cfRule type="expression" dxfId="4" priority="43">
      <formula>AND(T14&lt;&gt;"",T14&lt;&gt;$AX$21,T14&lt;&gt;$AY$21)</formula>
    </cfRule>
  </conditionalFormatting>
  <conditionalFormatting sqref="T16">
    <cfRule type="expression" dxfId="3" priority="44">
      <formula>AND(T16&lt;&gt;"",OR(T16=$AX$22,T16=$AY$22))</formula>
    </cfRule>
    <cfRule type="expression" dxfId="2" priority="45">
      <formula>AND(T16&lt;&gt;"",T16&lt;&gt;$AX$22,T16&lt;&gt;$AY$22)</formula>
    </cfRule>
  </conditionalFormatting>
  <conditionalFormatting sqref="T18">
    <cfRule type="expression" dxfId="1" priority="46">
      <formula>AND(T18&lt;&gt;"",OR(T18=$AX$23,T18=$AY$23))</formula>
    </cfRule>
    <cfRule type="expression" dxfId="0" priority="47">
      <formula>AND(T18&lt;&gt;"",T18&lt;&gt;$AX$23,T18&lt;&gt;$AY$23)</formula>
    </cfRule>
  </conditionalFormatting>
  <dataValidations count="31">
    <dataValidation type="list" allowBlank="1" errorTitle="Selección inválida" error="Elige uno de los dos equipos de la llave." sqref="D4" xr:uid="{00000000-0002-0000-0000-000000000000}">
      <formula1>$AX$1:$AY$1</formula1>
      <formula2>0</formula2>
    </dataValidation>
    <dataValidation type="list" allowBlank="1" errorTitle="Selección inválida" error="Elige uno de los dos equipos de la llave." sqref="D6" xr:uid="{00000000-0002-0000-0000-000001000000}">
      <formula1>$AX$2:$AY$2</formula1>
      <formula2>0</formula2>
    </dataValidation>
    <dataValidation type="list" allowBlank="1" errorTitle="Selección inválida" error="Elige uno de los dos equipos de la llave." sqref="D8" xr:uid="{00000000-0002-0000-0000-000002000000}">
      <formula1>$AX$3:$AY$3</formula1>
      <formula2>0</formula2>
    </dataValidation>
    <dataValidation type="list" allowBlank="1" errorTitle="Selección inválida" error="Elige uno de los dos equipos de la llave." sqref="D10" xr:uid="{00000000-0002-0000-0000-000003000000}">
      <formula1>$AX$4:$AY$4</formula1>
      <formula2>0</formula2>
    </dataValidation>
    <dataValidation type="list" allowBlank="1" errorTitle="Selección inválida" error="Elige uno de los dos equipos de la llave." sqref="D12" xr:uid="{00000000-0002-0000-0000-000004000000}">
      <formula1>$AX$5:$AY$5</formula1>
      <formula2>0</formula2>
    </dataValidation>
    <dataValidation type="list" allowBlank="1" errorTitle="Selección inválida" error="Elige uno de los dos equipos de la llave." sqref="D14" xr:uid="{00000000-0002-0000-0000-000005000000}">
      <formula1>$AX$6:$AY$6</formula1>
      <formula2>0</formula2>
    </dataValidation>
    <dataValidation type="list" allowBlank="1" errorTitle="Selección inválida" error="Elige uno de los dos equipos de la llave." sqref="D16" xr:uid="{00000000-0002-0000-0000-000006000000}">
      <formula1>$AX$7:$AY$7</formula1>
      <formula2>0</formula2>
    </dataValidation>
    <dataValidation type="list" allowBlank="1" errorTitle="Selección inválida" error="Elige uno de los dos equipos de la llave." sqref="D18" xr:uid="{00000000-0002-0000-0000-000007000000}">
      <formula1>$AX$8:$AY$8</formula1>
      <formula2>0</formula2>
    </dataValidation>
    <dataValidation type="list" allowBlank="1" errorTitle="Selección inválida" error="Elige uno de los dos equipos de la llave." sqref="F4" xr:uid="{00000000-0002-0000-0000-000008000000}">
      <formula1>$AX$9:$AY$9</formula1>
      <formula2>0</formula2>
    </dataValidation>
    <dataValidation type="list" allowBlank="1" errorTitle="Selección inválida" error="Elige uno de los dos equipos de la llave." sqref="F8" xr:uid="{00000000-0002-0000-0000-000009000000}">
      <formula1>$AX$10:$AY$10</formula1>
      <formula2>0</formula2>
    </dataValidation>
    <dataValidation type="list" allowBlank="1" errorTitle="Selección inválida" error="Elige uno de los dos equipos de la llave." sqref="F12" xr:uid="{00000000-0002-0000-0000-00000A000000}">
      <formula1>$AX$11:$AY$11</formula1>
      <formula2>0</formula2>
    </dataValidation>
    <dataValidation type="list" allowBlank="1" errorTitle="Selección inválida" error="Elige uno de los dos equipos de la llave." sqref="F16" xr:uid="{00000000-0002-0000-0000-00000B000000}">
      <formula1>$AX$12:$AY$12</formula1>
      <formula2>0</formula2>
    </dataValidation>
    <dataValidation type="list" allowBlank="1" errorTitle="Selección inválida" error="Elige uno de los dos equipos de la llave." sqref="H4" xr:uid="{00000000-0002-0000-0000-00000C000000}">
      <formula1>$AX$13:$AY$13</formula1>
      <formula2>0</formula2>
    </dataValidation>
    <dataValidation type="list" allowBlank="1" errorTitle="Selección inválida" error="Elige uno de los dos equipos de la llave." sqref="H12" xr:uid="{00000000-0002-0000-0000-00000D000000}">
      <formula1>$AX$14:$AY$14</formula1>
      <formula2>0</formula2>
    </dataValidation>
    <dataValidation type="list" allowBlank="1" errorTitle="Selección inválida" error="Elige uno de los dos equipos de la llave." sqref="J4" xr:uid="{00000000-0002-0000-0000-00000E000000}">
      <formula1>$AX$15:$AY$15</formula1>
      <formula2>0</formula2>
    </dataValidation>
    <dataValidation type="list" allowBlank="1" errorTitle="Selección inválida" error="Elige uno de los dos equipos de la llave." sqref="T4" xr:uid="{00000000-0002-0000-0000-00000F000000}">
      <formula1>$AX$16:$AY$16</formula1>
      <formula2>0</formula2>
    </dataValidation>
    <dataValidation type="list" allowBlank="1" errorTitle="Selección inválida" error="Elige uno de los dos equipos de la llave." sqref="T6" xr:uid="{00000000-0002-0000-0000-000010000000}">
      <formula1>$AX$17:$AY$17</formula1>
      <formula2>0</formula2>
    </dataValidation>
    <dataValidation type="list" allowBlank="1" errorTitle="Selección inválida" error="Elige uno de los dos equipos de la llave." sqref="T8" xr:uid="{00000000-0002-0000-0000-000011000000}">
      <formula1>$AX$18:$AY$18</formula1>
      <formula2>0</formula2>
    </dataValidation>
    <dataValidation type="list" allowBlank="1" errorTitle="Selección inválida" error="Elige uno de los dos equipos de la llave." sqref="T10" xr:uid="{00000000-0002-0000-0000-000012000000}">
      <formula1>$AX$19:$AY$19</formula1>
      <formula2>0</formula2>
    </dataValidation>
    <dataValidation type="list" allowBlank="1" errorTitle="Selección inválida" error="Elige uno de los dos equipos de la llave." sqref="T12" xr:uid="{00000000-0002-0000-0000-000013000000}">
      <formula1>$AX$20:$AY$20</formula1>
      <formula2>0</formula2>
    </dataValidation>
    <dataValidation type="list" allowBlank="1" errorTitle="Selección inválida" error="Elige uno de los dos equipos de la llave." sqref="T14" xr:uid="{00000000-0002-0000-0000-000014000000}">
      <formula1>$AX$21:$AY$21</formula1>
      <formula2>0</formula2>
    </dataValidation>
    <dataValidation type="list" allowBlank="1" errorTitle="Selección inválida" error="Elige uno de los dos equipos de la llave." sqref="T16" xr:uid="{00000000-0002-0000-0000-000015000000}">
      <formula1>$AX$22:$AY$22</formula1>
      <formula2>0</formula2>
    </dataValidation>
    <dataValidation type="list" allowBlank="1" errorTitle="Selección inválida" error="Elige uno de los dos equipos de la llave." sqref="T18" xr:uid="{00000000-0002-0000-0000-000016000000}">
      <formula1>$AX$23:$AY$23</formula1>
      <formula2>0</formula2>
    </dataValidation>
    <dataValidation type="list" allowBlank="1" errorTitle="Selección inválida" error="Elige uno de los dos equipos de la llave." sqref="R4" xr:uid="{00000000-0002-0000-0000-000017000000}">
      <formula1>$AX$24:$AY$24</formula1>
      <formula2>0</formula2>
    </dataValidation>
    <dataValidation type="list" allowBlank="1" errorTitle="Selección inválida" error="Elige uno de los dos equipos de la llave." sqref="R8" xr:uid="{00000000-0002-0000-0000-000018000000}">
      <formula1>$AX$25:$AY$25</formula1>
      <formula2>0</formula2>
    </dataValidation>
    <dataValidation type="list" allowBlank="1" errorTitle="Selección inválida" error="Elige uno de los dos equipos de la llave." sqref="R12" xr:uid="{00000000-0002-0000-0000-000019000000}">
      <formula1>$AX$26:$AY$26</formula1>
      <formula2>0</formula2>
    </dataValidation>
    <dataValidation type="list" allowBlank="1" errorTitle="Selección inválida" error="Elige uno de los dos equipos de la llave." sqref="R16" xr:uid="{00000000-0002-0000-0000-00001A000000}">
      <formula1>$AX$27:$AY$27</formula1>
      <formula2>0</formula2>
    </dataValidation>
    <dataValidation type="list" allowBlank="1" errorTitle="Selección inválida" error="Elige uno de los dos equipos de la llave." sqref="P4" xr:uid="{00000000-0002-0000-0000-00001B000000}">
      <formula1>$AX$28:$AY$28</formula1>
      <formula2>0</formula2>
    </dataValidation>
    <dataValidation type="list" allowBlank="1" errorTitle="Selección inválida" error="Elige uno de los dos equipos de la llave." sqref="P12" xr:uid="{00000000-0002-0000-0000-00001C000000}">
      <formula1>$AX$29:$AY$29</formula1>
      <formula2>0</formula2>
    </dataValidation>
    <dataValidation type="list" allowBlank="1" errorTitle="Selección inválida" error="Elige uno de los dos equipos de la llave." sqref="N4" xr:uid="{00000000-0002-0000-0000-00001D000000}">
      <formula1>$AX$30:$AY$30</formula1>
      <formula2>0</formula2>
    </dataValidation>
    <dataValidation type="list" allowBlank="1" errorTitle="Selección inválida" error="Elige uno de los dos equipos de la llave." sqref="L9" xr:uid="{00000000-0002-0000-0000-00001E000000}">
      <formula1>$AX$31:$AY$31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B21"/>
  <sheetViews>
    <sheetView showGridLines="0" zoomScaleNormal="100" workbookViewId="0"/>
  </sheetViews>
  <sheetFormatPr defaultColWidth="8.7109375" defaultRowHeight="15" x14ac:dyDescent="0.25"/>
  <cols>
    <col min="1" max="1" width="3" customWidth="1"/>
    <col min="2" max="2" width="100" customWidth="1"/>
  </cols>
  <sheetData>
    <row r="1" spans="2:2" ht="27.75" customHeight="1" x14ac:dyDescent="0.25">
      <c r="B1" s="7" t="s">
        <v>34</v>
      </c>
    </row>
    <row r="3" spans="2:2" ht="25.5" x14ac:dyDescent="0.25">
      <c r="B3" s="8" t="s">
        <v>35</v>
      </c>
    </row>
    <row r="5" spans="2:2" x14ac:dyDescent="0.25">
      <c r="B5" s="9" t="s">
        <v>36</v>
      </c>
    </row>
    <row r="7" spans="2:2" x14ac:dyDescent="0.25">
      <c r="B7" s="9" t="s">
        <v>37</v>
      </c>
    </row>
    <row r="8" spans="2:2" ht="25.5" x14ac:dyDescent="0.25">
      <c r="B8" s="8" t="s">
        <v>38</v>
      </c>
    </row>
    <row r="10" spans="2:2" x14ac:dyDescent="0.25">
      <c r="B10" s="9" t="s">
        <v>39</v>
      </c>
    </row>
    <row r="11" spans="2:2" x14ac:dyDescent="0.25">
      <c r="B11" s="10" t="s">
        <v>40</v>
      </c>
    </row>
    <row r="12" spans="2:2" x14ac:dyDescent="0.25">
      <c r="B12" s="10" t="s">
        <v>41</v>
      </c>
    </row>
    <row r="14" spans="2:2" x14ac:dyDescent="0.25">
      <c r="B14" s="11" t="s">
        <v>42</v>
      </c>
    </row>
    <row r="15" spans="2:2" x14ac:dyDescent="0.25">
      <c r="B15" s="12" t="s">
        <v>43</v>
      </c>
    </row>
    <row r="16" spans="2:2" x14ac:dyDescent="0.25">
      <c r="B16" s="12" t="s">
        <v>44</v>
      </c>
    </row>
    <row r="17" spans="2:2" x14ac:dyDescent="0.25">
      <c r="B17" s="12" t="s">
        <v>45</v>
      </c>
    </row>
    <row r="18" spans="2:2" x14ac:dyDescent="0.25">
      <c r="B18" s="12" t="s">
        <v>46</v>
      </c>
    </row>
    <row r="19" spans="2:2" x14ac:dyDescent="0.25">
      <c r="B19" s="12" t="s">
        <v>47</v>
      </c>
    </row>
    <row r="21" spans="2:2" x14ac:dyDescent="0.25">
      <c r="B21" s="10" t="s">
        <v>48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32"/>
  <sheetViews>
    <sheetView showGridLines="0" zoomScaleNormal="100" workbookViewId="0"/>
  </sheetViews>
  <sheetFormatPr defaultColWidth="8.7109375" defaultRowHeight="15" x14ac:dyDescent="0.25"/>
  <cols>
    <col min="1" max="1" width="18" customWidth="1"/>
    <col min="2" max="2" width="9" customWidth="1"/>
    <col min="3" max="3" width="12" customWidth="1"/>
    <col min="4" max="4" width="8" customWidth="1"/>
    <col min="5" max="7" width="20" customWidth="1"/>
  </cols>
  <sheetData>
    <row r="1" spans="1:7" ht="25.5" x14ac:dyDescent="0.25">
      <c r="A1" s="13" t="s">
        <v>49</v>
      </c>
      <c r="B1" s="13" t="s">
        <v>50</v>
      </c>
      <c r="C1" s="13" t="s">
        <v>51</v>
      </c>
      <c r="D1" s="13" t="s">
        <v>52</v>
      </c>
      <c r="E1" s="13" t="s">
        <v>53</v>
      </c>
      <c r="F1" s="13" t="s">
        <v>54</v>
      </c>
      <c r="G1" s="13" t="s">
        <v>55</v>
      </c>
    </row>
    <row r="2" spans="1:7" x14ac:dyDescent="0.25">
      <c r="A2" s="14" t="str">
        <f>Bracket!$D$2</f>
        <v>Eddie y Liza</v>
      </c>
      <c r="B2" s="15">
        <v>73</v>
      </c>
      <c r="C2" s="14" t="s">
        <v>56</v>
      </c>
      <c r="D2" s="15">
        <v>10</v>
      </c>
      <c r="E2" s="14" t="str">
        <f>Bracket!B8</f>
        <v>Sudafrica</v>
      </c>
      <c r="F2" s="14" t="str">
        <f>Bracket!B9</f>
        <v>Canada</v>
      </c>
      <c r="G2" s="14" t="str">
        <f>Bracket!D8</f>
        <v>Canada</v>
      </c>
    </row>
    <row r="3" spans="1:7" x14ac:dyDescent="0.25">
      <c r="A3" s="14" t="str">
        <f>Bracket!$D$2</f>
        <v>Eddie y Liza</v>
      </c>
      <c r="B3" s="15">
        <v>74</v>
      </c>
      <c r="C3" s="14" t="s">
        <v>56</v>
      </c>
      <c r="D3" s="15">
        <v>10</v>
      </c>
      <c r="E3" s="14" t="str">
        <f>Bracket!B4</f>
        <v>Alemania</v>
      </c>
      <c r="F3" s="14" t="str">
        <f>Bracket!B5</f>
        <v>Paraguay</v>
      </c>
      <c r="G3" s="14" t="str">
        <f>Bracket!D4</f>
        <v>Alemania</v>
      </c>
    </row>
    <row r="4" spans="1:7" x14ac:dyDescent="0.25">
      <c r="A4" s="14" t="str">
        <f>Bracket!$D$2</f>
        <v>Eddie y Liza</v>
      </c>
      <c r="B4" s="15">
        <v>75</v>
      </c>
      <c r="C4" s="14" t="s">
        <v>56</v>
      </c>
      <c r="D4" s="15">
        <v>10</v>
      </c>
      <c r="E4" s="14" t="str">
        <f>Bracket!B10</f>
        <v>Paises Bajos</v>
      </c>
      <c r="F4" s="14" t="str">
        <f>Bracket!B11</f>
        <v>Marruecos</v>
      </c>
      <c r="G4" s="14" t="str">
        <f>Bracket!D10</f>
        <v>Marruecos</v>
      </c>
    </row>
    <row r="5" spans="1:7" x14ac:dyDescent="0.25">
      <c r="A5" s="14" t="str">
        <f>Bracket!$D$2</f>
        <v>Eddie y Liza</v>
      </c>
      <c r="B5" s="15">
        <v>76</v>
      </c>
      <c r="C5" s="14" t="s">
        <v>56</v>
      </c>
      <c r="D5" s="15">
        <v>10</v>
      </c>
      <c r="E5" s="14" t="str">
        <f>Bracket!V4</f>
        <v>Brasil</v>
      </c>
      <c r="F5" s="14" t="str">
        <f>Bracket!V5</f>
        <v>Japon</v>
      </c>
      <c r="G5" s="14" t="str">
        <f>Bracket!T4</f>
        <v>Brasil</v>
      </c>
    </row>
    <row r="6" spans="1:7" x14ac:dyDescent="0.25">
      <c r="A6" s="14" t="str">
        <f>Bracket!$D$2</f>
        <v>Eddie y Liza</v>
      </c>
      <c r="B6" s="15">
        <v>77</v>
      </c>
      <c r="C6" s="14" t="s">
        <v>56</v>
      </c>
      <c r="D6" s="15">
        <v>10</v>
      </c>
      <c r="E6" s="14" t="str">
        <f>Bracket!B6</f>
        <v>Francia</v>
      </c>
      <c r="F6" s="14" t="str">
        <f>Bracket!B7</f>
        <v>Suecia</v>
      </c>
      <c r="G6" s="14" t="str">
        <f>Bracket!D6</f>
        <v>Francia</v>
      </c>
    </row>
    <row r="7" spans="1:7" x14ac:dyDescent="0.25">
      <c r="A7" s="14" t="str">
        <f>Bracket!$D$2</f>
        <v>Eddie y Liza</v>
      </c>
      <c r="B7" s="15">
        <v>78</v>
      </c>
      <c r="C7" s="14" t="s">
        <v>56</v>
      </c>
      <c r="D7" s="15">
        <v>10</v>
      </c>
      <c r="E7" s="14" t="str">
        <f>Bracket!V6</f>
        <v>Costa de Marfil</v>
      </c>
      <c r="F7" s="14" t="str">
        <f>Bracket!V7</f>
        <v>Noruega</v>
      </c>
      <c r="G7" s="14" t="str">
        <f>Bracket!T6</f>
        <v>Noruega</v>
      </c>
    </row>
    <row r="8" spans="1:7" x14ac:dyDescent="0.25">
      <c r="A8" s="14" t="str">
        <f>Bracket!$D$2</f>
        <v>Eddie y Liza</v>
      </c>
      <c r="B8" s="15">
        <v>79</v>
      </c>
      <c r="C8" s="14" t="s">
        <v>56</v>
      </c>
      <c r="D8" s="15">
        <v>10</v>
      </c>
      <c r="E8" s="14" t="str">
        <f>Bracket!V8</f>
        <v>México</v>
      </c>
      <c r="F8" s="14" t="str">
        <f>Bracket!V9</f>
        <v>Ecuador</v>
      </c>
      <c r="G8" s="14" t="str">
        <f>Bracket!T8</f>
        <v>México</v>
      </c>
    </row>
    <row r="9" spans="1:7" x14ac:dyDescent="0.25">
      <c r="A9" s="14" t="str">
        <f>Bracket!$D$2</f>
        <v>Eddie y Liza</v>
      </c>
      <c r="B9" s="15">
        <v>80</v>
      </c>
      <c r="C9" s="14" t="s">
        <v>56</v>
      </c>
      <c r="D9" s="15">
        <v>10</v>
      </c>
      <c r="E9" s="14" t="str">
        <f>Bracket!V10</f>
        <v>Inglaterra</v>
      </c>
      <c r="F9" s="14" t="str">
        <f>Bracket!V11</f>
        <v>RD Congo</v>
      </c>
      <c r="G9" s="14" t="str">
        <f>Bracket!T10</f>
        <v>Inglaterra</v>
      </c>
    </row>
    <row r="10" spans="1:7" x14ac:dyDescent="0.25">
      <c r="A10" s="14" t="str">
        <f>Bracket!$D$2</f>
        <v>Eddie y Liza</v>
      </c>
      <c r="B10" s="15">
        <v>81</v>
      </c>
      <c r="C10" s="14" t="s">
        <v>56</v>
      </c>
      <c r="D10" s="15">
        <v>10</v>
      </c>
      <c r="E10" s="14" t="str">
        <f>Bracket!B16</f>
        <v>Estados Unidos</v>
      </c>
      <c r="F10" s="14" t="str">
        <f>Bracket!B17</f>
        <v>Bosnia</v>
      </c>
      <c r="G10" s="14" t="str">
        <f>Bracket!D16</f>
        <v>Estados Unidos</v>
      </c>
    </row>
    <row r="11" spans="1:7" x14ac:dyDescent="0.25">
      <c r="A11" s="14" t="str">
        <f>Bracket!$D$2</f>
        <v>Eddie y Liza</v>
      </c>
      <c r="B11" s="15">
        <v>82</v>
      </c>
      <c r="C11" s="14" t="s">
        <v>56</v>
      </c>
      <c r="D11" s="15">
        <v>10</v>
      </c>
      <c r="E11" s="14" t="str">
        <f>Bracket!B18</f>
        <v>Belgica</v>
      </c>
      <c r="F11" s="14" t="str">
        <f>Bracket!B19</f>
        <v>Senegal</v>
      </c>
      <c r="G11" s="14" t="str">
        <f>Bracket!D18</f>
        <v>Senegal</v>
      </c>
    </row>
    <row r="12" spans="1:7" x14ac:dyDescent="0.25">
      <c r="A12" s="14" t="str">
        <f>Bracket!$D$2</f>
        <v>Eddie y Liza</v>
      </c>
      <c r="B12" s="15">
        <v>83</v>
      </c>
      <c r="C12" s="14" t="s">
        <v>56</v>
      </c>
      <c r="D12" s="15">
        <v>10</v>
      </c>
      <c r="E12" s="14" t="str">
        <f>Bracket!B12</f>
        <v>Portugal</v>
      </c>
      <c r="F12" s="14" t="str">
        <f>Bracket!B13</f>
        <v>Croacia</v>
      </c>
      <c r="G12" s="14" t="str">
        <f>Bracket!D12</f>
        <v>Croacia</v>
      </c>
    </row>
    <row r="13" spans="1:7" x14ac:dyDescent="0.25">
      <c r="A13" s="14" t="str">
        <f>Bracket!$D$2</f>
        <v>Eddie y Liza</v>
      </c>
      <c r="B13" s="15">
        <v>84</v>
      </c>
      <c r="C13" s="14" t="s">
        <v>56</v>
      </c>
      <c r="D13" s="15">
        <v>10</v>
      </c>
      <c r="E13" s="14" t="str">
        <f>Bracket!B14</f>
        <v>España</v>
      </c>
      <c r="F13" s="14" t="str">
        <f>Bracket!B15</f>
        <v>Austria</v>
      </c>
      <c r="G13" s="14" t="str">
        <f>Bracket!D14</f>
        <v>España</v>
      </c>
    </row>
    <row r="14" spans="1:7" x14ac:dyDescent="0.25">
      <c r="A14" s="14" t="str">
        <f>Bracket!$D$2</f>
        <v>Eddie y Liza</v>
      </c>
      <c r="B14" s="15">
        <v>85</v>
      </c>
      <c r="C14" s="14" t="s">
        <v>56</v>
      </c>
      <c r="D14" s="15">
        <v>10</v>
      </c>
      <c r="E14" s="14" t="str">
        <f>Bracket!V16</f>
        <v>Suiza</v>
      </c>
      <c r="F14" s="14" t="str">
        <f>Bracket!V17</f>
        <v>Algeria</v>
      </c>
      <c r="G14" s="14" t="str">
        <f>Bracket!T16</f>
        <v>Suiza</v>
      </c>
    </row>
    <row r="15" spans="1:7" x14ac:dyDescent="0.25">
      <c r="A15" s="14" t="str">
        <f>Bracket!$D$2</f>
        <v>Eddie y Liza</v>
      </c>
      <c r="B15" s="15">
        <v>86</v>
      </c>
      <c r="C15" s="14" t="s">
        <v>56</v>
      </c>
      <c r="D15" s="15">
        <v>10</v>
      </c>
      <c r="E15" s="14" t="str">
        <f>Bracket!V12</f>
        <v>Argenina</v>
      </c>
      <c r="F15" s="14" t="str">
        <f>Bracket!V13</f>
        <v>Cabo Verde</v>
      </c>
      <c r="G15" s="14" t="str">
        <f>Bracket!T12</f>
        <v>Argenina</v>
      </c>
    </row>
    <row r="16" spans="1:7" x14ac:dyDescent="0.25">
      <c r="A16" s="14" t="str">
        <f>Bracket!$D$2</f>
        <v>Eddie y Liza</v>
      </c>
      <c r="B16" s="15">
        <v>87</v>
      </c>
      <c r="C16" s="14" t="s">
        <v>56</v>
      </c>
      <c r="D16" s="15">
        <v>10</v>
      </c>
      <c r="E16" s="14" t="str">
        <f>Bracket!V18</f>
        <v>Colombia</v>
      </c>
      <c r="F16" s="14" t="str">
        <f>Bracket!V19</f>
        <v>Ghana</v>
      </c>
      <c r="G16" s="14" t="str">
        <f>Bracket!T18</f>
        <v>Colombia</v>
      </c>
    </row>
    <row r="17" spans="1:7" x14ac:dyDescent="0.25">
      <c r="A17" s="14" t="str">
        <f>Bracket!$D$2</f>
        <v>Eddie y Liza</v>
      </c>
      <c r="B17" s="15">
        <v>88</v>
      </c>
      <c r="C17" s="14" t="s">
        <v>56</v>
      </c>
      <c r="D17" s="15">
        <v>10</v>
      </c>
      <c r="E17" s="14" t="str">
        <f>Bracket!V14</f>
        <v>Australia</v>
      </c>
      <c r="F17" s="14" t="str">
        <f>Bracket!V15</f>
        <v>Egipto</v>
      </c>
      <c r="G17" s="14" t="str">
        <f>Bracket!T14</f>
        <v>Egipto</v>
      </c>
    </row>
    <row r="18" spans="1:7" x14ac:dyDescent="0.25">
      <c r="A18" s="14" t="str">
        <f>Bracket!$D$2</f>
        <v>Eddie y Liza</v>
      </c>
      <c r="B18" s="15">
        <v>89</v>
      </c>
      <c r="C18" s="14" t="s">
        <v>57</v>
      </c>
      <c r="D18" s="15">
        <v>20</v>
      </c>
      <c r="E18" s="14" t="str">
        <f>Bracket!D4</f>
        <v>Alemania</v>
      </c>
      <c r="F18" s="14" t="str">
        <f>Bracket!D6</f>
        <v>Francia</v>
      </c>
      <c r="G18" s="14" t="str">
        <f>Bracket!F4</f>
        <v>Alemania</v>
      </c>
    </row>
    <row r="19" spans="1:7" x14ac:dyDescent="0.25">
      <c r="A19" s="14" t="str">
        <f>Bracket!$D$2</f>
        <v>Eddie y Liza</v>
      </c>
      <c r="B19" s="15">
        <v>90</v>
      </c>
      <c r="C19" s="14" t="s">
        <v>57</v>
      </c>
      <c r="D19" s="15">
        <v>20</v>
      </c>
      <c r="E19" s="14" t="str">
        <f>Bracket!D8</f>
        <v>Canada</v>
      </c>
      <c r="F19" s="14" t="str">
        <f>Bracket!D10</f>
        <v>Marruecos</v>
      </c>
      <c r="G19" s="14" t="str">
        <f>Bracket!F8</f>
        <v>Marruecos</v>
      </c>
    </row>
    <row r="20" spans="1:7" x14ac:dyDescent="0.25">
      <c r="A20" s="14" t="str">
        <f>Bracket!$D$2</f>
        <v>Eddie y Liza</v>
      </c>
      <c r="B20" s="15">
        <v>91</v>
      </c>
      <c r="C20" s="14" t="s">
        <v>57</v>
      </c>
      <c r="D20" s="15">
        <v>20</v>
      </c>
      <c r="E20" s="14" t="str">
        <f>Bracket!T4</f>
        <v>Brasil</v>
      </c>
      <c r="F20" s="14" t="str">
        <f>Bracket!T6</f>
        <v>Noruega</v>
      </c>
      <c r="G20" s="14" t="str">
        <f>Bracket!R4</f>
        <v>Brasil</v>
      </c>
    </row>
    <row r="21" spans="1:7" x14ac:dyDescent="0.25">
      <c r="A21" s="14" t="str">
        <f>Bracket!$D$2</f>
        <v>Eddie y Liza</v>
      </c>
      <c r="B21" s="15">
        <v>92</v>
      </c>
      <c r="C21" s="14" t="s">
        <v>57</v>
      </c>
      <c r="D21" s="15">
        <v>20</v>
      </c>
      <c r="E21" s="14" t="str">
        <f>Bracket!T8</f>
        <v>México</v>
      </c>
      <c r="F21" s="14" t="str">
        <f>Bracket!T10</f>
        <v>Inglaterra</v>
      </c>
      <c r="G21" s="14" t="str">
        <f>Bracket!R8</f>
        <v>México</v>
      </c>
    </row>
    <row r="22" spans="1:7" x14ac:dyDescent="0.25">
      <c r="A22" s="14" t="str">
        <f>Bracket!$D$2</f>
        <v>Eddie y Liza</v>
      </c>
      <c r="B22" s="15">
        <v>93</v>
      </c>
      <c r="C22" s="14" t="s">
        <v>57</v>
      </c>
      <c r="D22" s="15">
        <v>20</v>
      </c>
      <c r="E22" s="14" t="str">
        <f>Bracket!D12</f>
        <v>Croacia</v>
      </c>
      <c r="F22" s="14" t="str">
        <f>Bracket!D14</f>
        <v>España</v>
      </c>
      <c r="G22" s="14" t="str">
        <f>Bracket!F12</f>
        <v>España</v>
      </c>
    </row>
    <row r="23" spans="1:7" x14ac:dyDescent="0.25">
      <c r="A23" s="14" t="str">
        <f>Bracket!$D$2</f>
        <v>Eddie y Liza</v>
      </c>
      <c r="B23" s="15">
        <v>94</v>
      </c>
      <c r="C23" s="14" t="s">
        <v>57</v>
      </c>
      <c r="D23" s="15">
        <v>20</v>
      </c>
      <c r="E23" s="14" t="str">
        <f>Bracket!D16</f>
        <v>Estados Unidos</v>
      </c>
      <c r="F23" s="14" t="str">
        <f>Bracket!D18</f>
        <v>Senegal</v>
      </c>
      <c r="G23" s="14" t="str">
        <f>Bracket!F16</f>
        <v>Estados Unidos</v>
      </c>
    </row>
    <row r="24" spans="1:7" x14ac:dyDescent="0.25">
      <c r="A24" s="14" t="str">
        <f>Bracket!$D$2</f>
        <v>Eddie y Liza</v>
      </c>
      <c r="B24" s="15">
        <v>95</v>
      </c>
      <c r="C24" s="14" t="s">
        <v>57</v>
      </c>
      <c r="D24" s="15">
        <v>20</v>
      </c>
      <c r="E24" s="14" t="str">
        <f>Bracket!T12</f>
        <v>Argenina</v>
      </c>
      <c r="F24" s="14" t="str">
        <f>Bracket!T14</f>
        <v>Egipto</v>
      </c>
      <c r="G24" s="14" t="str">
        <f>Bracket!R12</f>
        <v>Argenina</v>
      </c>
    </row>
    <row r="25" spans="1:7" x14ac:dyDescent="0.25">
      <c r="A25" s="14" t="str">
        <f>Bracket!$D$2</f>
        <v>Eddie y Liza</v>
      </c>
      <c r="B25" s="15">
        <v>96</v>
      </c>
      <c r="C25" s="14" t="s">
        <v>57</v>
      </c>
      <c r="D25" s="15">
        <v>20</v>
      </c>
      <c r="E25" s="14" t="str">
        <f>Bracket!T16</f>
        <v>Suiza</v>
      </c>
      <c r="F25" s="14" t="str">
        <f>Bracket!T18</f>
        <v>Colombia</v>
      </c>
      <c r="G25" s="14" t="str">
        <f>Bracket!R16</f>
        <v>Colombia</v>
      </c>
    </row>
    <row r="26" spans="1:7" x14ac:dyDescent="0.25">
      <c r="A26" s="14" t="str">
        <f>Bracket!$D$2</f>
        <v>Eddie y Liza</v>
      </c>
      <c r="B26" s="15">
        <v>97</v>
      </c>
      <c r="C26" s="14" t="s">
        <v>58</v>
      </c>
      <c r="D26" s="15">
        <v>40</v>
      </c>
      <c r="E26" s="14" t="str">
        <f>Bracket!F4</f>
        <v>Alemania</v>
      </c>
      <c r="F26" s="14" t="str">
        <f>Bracket!F8</f>
        <v>Marruecos</v>
      </c>
      <c r="G26" s="14" t="str">
        <f>Bracket!H4</f>
        <v>Alemania</v>
      </c>
    </row>
    <row r="27" spans="1:7" x14ac:dyDescent="0.25">
      <c r="A27" s="14" t="str">
        <f>Bracket!$D$2</f>
        <v>Eddie y Liza</v>
      </c>
      <c r="B27" s="15">
        <v>98</v>
      </c>
      <c r="C27" s="14" t="s">
        <v>58</v>
      </c>
      <c r="D27" s="15">
        <v>40</v>
      </c>
      <c r="E27" s="14" t="str">
        <f>Bracket!F12</f>
        <v>España</v>
      </c>
      <c r="F27" s="14" t="str">
        <f>Bracket!F16</f>
        <v>Estados Unidos</v>
      </c>
      <c r="G27" s="14" t="str">
        <f>Bracket!H12</f>
        <v>España</v>
      </c>
    </row>
    <row r="28" spans="1:7" x14ac:dyDescent="0.25">
      <c r="A28" s="14" t="str">
        <f>Bracket!$D$2</f>
        <v>Eddie y Liza</v>
      </c>
      <c r="B28" s="15">
        <v>99</v>
      </c>
      <c r="C28" s="14" t="s">
        <v>58</v>
      </c>
      <c r="D28" s="15">
        <v>40</v>
      </c>
      <c r="E28" s="14" t="str">
        <f>Bracket!R4</f>
        <v>Brasil</v>
      </c>
      <c r="F28" s="14" t="str">
        <f>Bracket!R8</f>
        <v>México</v>
      </c>
      <c r="G28" s="14" t="str">
        <f>Bracket!P4</f>
        <v>Brasil</v>
      </c>
    </row>
    <row r="29" spans="1:7" x14ac:dyDescent="0.25">
      <c r="A29" s="14" t="str">
        <f>Bracket!$D$2</f>
        <v>Eddie y Liza</v>
      </c>
      <c r="B29" s="15">
        <v>100</v>
      </c>
      <c r="C29" s="14" t="s">
        <v>58</v>
      </c>
      <c r="D29" s="15">
        <v>40</v>
      </c>
      <c r="E29" s="14" t="str">
        <f>Bracket!R12</f>
        <v>Argenina</v>
      </c>
      <c r="F29" s="14" t="str">
        <f>Bracket!R16</f>
        <v>Colombia</v>
      </c>
      <c r="G29" s="14" t="str">
        <f>Bracket!P12</f>
        <v>Argenina</v>
      </c>
    </row>
    <row r="30" spans="1:7" x14ac:dyDescent="0.25">
      <c r="A30" s="14" t="str">
        <f>Bracket!$D$2</f>
        <v>Eddie y Liza</v>
      </c>
      <c r="B30" s="15">
        <v>101</v>
      </c>
      <c r="C30" s="14" t="s">
        <v>59</v>
      </c>
      <c r="D30" s="15">
        <v>80</v>
      </c>
      <c r="E30" s="14" t="str">
        <f>Bracket!H4</f>
        <v>Alemania</v>
      </c>
      <c r="F30" s="14" t="str">
        <f>Bracket!H12</f>
        <v>España</v>
      </c>
      <c r="G30" s="14" t="str">
        <f>Bracket!J4</f>
        <v>España</v>
      </c>
    </row>
    <row r="31" spans="1:7" x14ac:dyDescent="0.25">
      <c r="A31" s="14" t="str">
        <f>Bracket!$D$2</f>
        <v>Eddie y Liza</v>
      </c>
      <c r="B31" s="15">
        <v>102</v>
      </c>
      <c r="C31" s="14" t="s">
        <v>59</v>
      </c>
      <c r="D31" s="15">
        <v>80</v>
      </c>
      <c r="E31" s="14" t="str">
        <f>Bracket!P4</f>
        <v>Brasil</v>
      </c>
      <c r="F31" s="14" t="str">
        <f>Bracket!P12</f>
        <v>Argenina</v>
      </c>
      <c r="G31" s="14" t="str">
        <f>Bracket!N4</f>
        <v>Argenina</v>
      </c>
    </row>
    <row r="32" spans="1:7" x14ac:dyDescent="0.25">
      <c r="A32" s="14" t="str">
        <f>Bracket!$D$2</f>
        <v>Eddie y Liza</v>
      </c>
      <c r="B32" s="15">
        <v>103</v>
      </c>
      <c r="C32" s="14" t="s">
        <v>60</v>
      </c>
      <c r="D32" s="15">
        <v>160</v>
      </c>
      <c r="E32" s="14" t="str">
        <f>Bracket!J4</f>
        <v>España</v>
      </c>
      <c r="F32" s="14" t="str">
        <f>Bracket!N4</f>
        <v>Argenina</v>
      </c>
      <c r="G32" s="14" t="str">
        <f>Bracket!L9</f>
        <v>España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Bracket</vt:lpstr>
      <vt:lpstr>Instrucciones</vt:lpstr>
      <vt:lpstr>Export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Enrique Walsh</cp:lastModifiedBy>
  <cp:revision>0</cp:revision>
  <dcterms:created xsi:type="dcterms:W3CDTF">2026-06-28T04:29:15Z</dcterms:created>
  <dcterms:modified xsi:type="dcterms:W3CDTF">2026-06-29T14:57:43Z</dcterms:modified>
  <dc:language>en-US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38f1469a-2c2a-4aee-b92b-090d4c5468ff_Enabled">
    <vt:lpwstr>true</vt:lpwstr>
  </property>
  <property fmtid="{D5CDD505-2E9C-101B-9397-08002B2CF9AE}" pid="3" name="MSIP_Label_38f1469a-2c2a-4aee-b92b-090d4c5468ff_SetDate">
    <vt:lpwstr>2026-06-28T17:25:03Z</vt:lpwstr>
  </property>
  <property fmtid="{D5CDD505-2E9C-101B-9397-08002B2CF9AE}" pid="4" name="MSIP_Label_38f1469a-2c2a-4aee-b92b-090d4c5468ff_Method">
    <vt:lpwstr>Standard</vt:lpwstr>
  </property>
  <property fmtid="{D5CDD505-2E9C-101B-9397-08002B2CF9AE}" pid="5" name="MSIP_Label_38f1469a-2c2a-4aee-b92b-090d4c5468ff_Name">
    <vt:lpwstr>Confidential - Unmarked</vt:lpwstr>
  </property>
  <property fmtid="{D5CDD505-2E9C-101B-9397-08002B2CF9AE}" pid="6" name="MSIP_Label_38f1469a-2c2a-4aee-b92b-090d4c5468ff_SiteId">
    <vt:lpwstr>2a6e6092-73e4-4752-b1a5-477a17f5056d</vt:lpwstr>
  </property>
  <property fmtid="{D5CDD505-2E9C-101B-9397-08002B2CF9AE}" pid="7" name="MSIP_Label_38f1469a-2c2a-4aee-b92b-090d4c5468ff_ActionId">
    <vt:lpwstr>3112445f-f814-4177-b25a-aff3c7529105</vt:lpwstr>
  </property>
  <property fmtid="{D5CDD505-2E9C-101B-9397-08002B2CF9AE}" pid="8" name="MSIP_Label_38f1469a-2c2a-4aee-b92b-090d4c5468ff_ContentBits">
    <vt:lpwstr>0</vt:lpwstr>
  </property>
  <property fmtid="{D5CDD505-2E9C-101B-9397-08002B2CF9AE}" pid="9" name="MSIP_Label_38f1469a-2c2a-4aee-b92b-090d4c5468ff_Tag">
    <vt:lpwstr>10, 3, 0, 1</vt:lpwstr>
  </property>
</Properties>
</file>